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9320" yWindow="1755" windowWidth="19440" windowHeight="103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;[Red]0"/>
    <numFmt numFmtId="165" formatCode="[$-4000439]0"/>
  </numFmts>
  <fonts count="14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  <scheme val="minor"/>
    </font>
    <font>
      <name val="Kalimati"/>
      <charset val="1"/>
      <color theme="1"/>
      <sz val="11"/>
    </font>
    <font>
      <name val="Kalimati"/>
      <charset val="1"/>
      <color theme="1"/>
      <sz val="12"/>
    </font>
    <font>
      <name val="Calibri"/>
      <family val="2"/>
      <color theme="1"/>
      <sz val="14"/>
      <scheme val="minor"/>
    </font>
    <font>
      <name val="Kalimati"/>
      <charset val="1"/>
      <b val="1"/>
      <color theme="1"/>
      <sz val="11"/>
    </font>
    <font>
      <name val="Kalimati"/>
      <charset val="1"/>
      <b val="1"/>
      <color theme="1"/>
      <sz val="12"/>
    </font>
    <font>
      <name val="Kalimati"/>
      <charset val="1"/>
      <color theme="1"/>
      <sz val="10"/>
    </font>
    <font>
      <name val="Kalimati"/>
      <charset val="1"/>
      <b val="1"/>
      <color theme="1"/>
      <sz val="10"/>
    </font>
    <font>
      <name val="Arial"/>
      <family val="2"/>
      <color rgb="FF333333"/>
      <sz val="7"/>
    </font>
    <font>
      <name val="Arial"/>
      <family val="2"/>
      <b val="1"/>
      <color rgb="FF333333"/>
      <sz val="11"/>
    </font>
    <font>
      <name val="Arial"/>
      <family val="2"/>
      <color rgb="FF333333"/>
      <sz val="11"/>
    </font>
    <font>
      <name val="Kalimati"/>
      <charset val="1"/>
      <b val="1"/>
      <color theme="1"/>
      <sz val="14"/>
    </font>
  </fonts>
  <fills count="11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thick">
        <color rgb="FFDDDDDD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2" fillId="0" borderId="0"/>
    <xf numFmtId="43" fontId="2" fillId="0" borderId="0"/>
  </cellStyleXfs>
  <cellXfs count="192">
    <xf numFmtId="0" fontId="0" fillId="0" borderId="0" pivotButton="0" quotePrefix="0" xfId="0"/>
    <xf numFmtId="0" fontId="5" fillId="0" borderId="0" applyAlignment="1" pivotButton="0" quotePrefix="0" xfId="0">
      <alignment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2" pivotButton="0" quotePrefix="0" xfId="0"/>
    <xf numFmtId="0" fontId="0" fillId="0" borderId="1" pivotButton="0" quotePrefix="0" xfId="0"/>
    <xf numFmtId="2" fontId="0" fillId="0" borderId="0" pivotButton="0" quotePrefix="0" xfId="0"/>
    <xf numFmtId="0" fontId="0" fillId="6" borderId="0" pivotButton="0" quotePrefix="0" xfId="0"/>
    <xf numFmtId="0" fontId="5" fillId="6" borderId="0" applyAlignment="1" pivotButton="0" quotePrefix="0" xfId="0">
      <alignment vertical="center"/>
    </xf>
    <xf numFmtId="0" fontId="0" fillId="0" borderId="10" pivotButton="0" quotePrefix="0" xfId="0"/>
    <xf numFmtId="0" fontId="5" fillId="0" borderId="10" applyAlignment="1" pivotButton="0" quotePrefix="0" xfId="0">
      <alignment vertical="center"/>
    </xf>
    <xf numFmtId="164" fontId="0" fillId="0" borderId="10" pivotButton="0" quotePrefix="0" xfId="0"/>
    <xf numFmtId="164" fontId="5" fillId="0" borderId="10" applyAlignment="1" pivotButton="0" quotePrefix="0" xfId="0">
      <alignment vertical="center"/>
    </xf>
    <xf numFmtId="0" fontId="1" fillId="0" borderId="4" applyAlignment="1" pivotButton="0" quotePrefix="0" xfId="0">
      <alignment horizontal="right" vertical="center"/>
    </xf>
    <xf numFmtId="0" fontId="1" fillId="0" borderId="5" applyAlignment="1" pivotButton="0" quotePrefix="0" xfId="0">
      <alignment horizontal="right" vertical="center"/>
    </xf>
    <xf numFmtId="2" fontId="8" fillId="3" borderId="26" applyAlignment="1" pivotButton="0" quotePrefix="0" xfId="0">
      <alignment horizontal="left" vertical="top"/>
    </xf>
    <xf numFmtId="2" fontId="8" fillId="3" borderId="15" applyAlignment="1" pivotButton="0" quotePrefix="0" xfId="0">
      <alignment horizontal="left" vertical="top"/>
    </xf>
    <xf numFmtId="0" fontId="10" fillId="8" borderId="0" applyAlignment="1" pivotButton="0" quotePrefix="0" xfId="0">
      <alignment vertical="top" wrapText="1"/>
    </xf>
    <xf numFmtId="0" fontId="11" fillId="7" borderId="25" applyAlignment="1" pivotButton="0" quotePrefix="0" xfId="0">
      <alignment vertical="top" wrapText="1"/>
    </xf>
    <xf numFmtId="0" fontId="12" fillId="8" borderId="25" applyAlignment="1" pivotButton="0" quotePrefix="0" xfId="0">
      <alignment vertical="top" wrapText="1"/>
    </xf>
    <xf numFmtId="0" fontId="12" fillId="7" borderId="25" applyAlignment="1" pivotButton="0" quotePrefix="0" xfId="0">
      <alignment vertical="top" wrapText="1"/>
    </xf>
    <xf numFmtId="0" fontId="11" fillId="7" borderId="38" applyAlignment="1" pivotButton="0" quotePrefix="0" xfId="0">
      <alignment horizontal="left" wrapText="1"/>
    </xf>
    <xf numFmtId="2" fontId="8" fillId="3" borderId="11" applyAlignment="1" pivotButton="0" quotePrefix="0" xfId="0">
      <alignment horizontal="left" vertical="top"/>
    </xf>
    <xf numFmtId="165" fontId="3" fillId="2" borderId="27" applyAlignment="1" pivotButton="0" quotePrefix="0" xfId="0">
      <alignment horizontal="center" vertical="center"/>
    </xf>
    <xf numFmtId="165" fontId="3" fillId="2" borderId="29" applyAlignment="1" pivotButton="0" quotePrefix="0" xfId="0">
      <alignment horizontal="center" vertical="center"/>
    </xf>
    <xf numFmtId="0" fontId="7" fillId="2" borderId="44" applyAlignment="1" pivotButton="0" quotePrefix="0" xfId="0">
      <alignment horizontal="center" vertical="center"/>
    </xf>
    <xf numFmtId="0" fontId="7" fillId="2" borderId="44" applyAlignment="1" pivotButton="0" quotePrefix="0" xfId="0">
      <alignment horizontal="left" vertical="top"/>
    </xf>
    <xf numFmtId="0" fontId="7" fillId="2" borderId="45" applyAlignment="1" pivotButton="0" quotePrefix="0" xfId="0">
      <alignment horizontal="left" vertical="top"/>
    </xf>
    <xf numFmtId="2" fontId="8" fillId="3" borderId="18" applyAlignment="1" pivotButton="0" quotePrefix="0" xfId="0">
      <alignment horizontal="left" vertical="top"/>
    </xf>
    <xf numFmtId="0" fontId="3" fillId="2" borderId="44" applyAlignment="1" pivotButton="0" quotePrefix="0" xfId="0">
      <alignment horizontal="center" vertical="center"/>
    </xf>
    <xf numFmtId="0" fontId="3" fillId="2" borderId="45" applyAlignment="1" pivotButton="0" quotePrefix="0" xfId="0">
      <alignment horizontal="center" vertical="center"/>
    </xf>
    <xf numFmtId="0" fontId="3" fillId="4" borderId="31" applyAlignment="1" pivotButton="0" quotePrefix="0" xfId="0">
      <alignment horizontal="center" vertical="center" wrapText="1"/>
    </xf>
    <xf numFmtId="2" fontId="8" fillId="3" borderId="33" applyAlignment="1" pivotButton="0" quotePrefix="0" xfId="0">
      <alignment horizontal="left" vertical="top"/>
    </xf>
    <xf numFmtId="165" fontId="3" fillId="2" borderId="43" applyAlignment="1" pivotButton="0" quotePrefix="0" xfId="0">
      <alignment horizontal="center" vertical="center"/>
    </xf>
    <xf numFmtId="0" fontId="9" fillId="2" borderId="37" applyAlignment="1" pivotButton="0" quotePrefix="0" xfId="0">
      <alignment horizontal="center" vertical="center"/>
    </xf>
    <xf numFmtId="0" fontId="9" fillId="2" borderId="47" applyAlignment="1" pivotButton="0" quotePrefix="0" xfId="0">
      <alignment horizontal="center" vertical="center"/>
    </xf>
    <xf numFmtId="0" fontId="3" fillId="2" borderId="31" applyAlignment="1" pivotButton="0" quotePrefix="0" xfId="0">
      <alignment horizontal="center" vertical="center"/>
    </xf>
    <xf numFmtId="0" fontId="6" fillId="2" borderId="37" applyAlignment="1" pivotButton="0" quotePrefix="0" xfId="0">
      <alignment horizontal="center" vertical="center"/>
    </xf>
    <xf numFmtId="0" fontId="9" fillId="3" borderId="31" applyAlignment="1" pivotButton="0" quotePrefix="0" xfId="0">
      <alignment horizontal="center" vertical="center"/>
    </xf>
    <xf numFmtId="2" fontId="8" fillId="3" borderId="43" applyAlignment="1" pivotButton="0" quotePrefix="0" xfId="0">
      <alignment horizontal="left" vertical="top"/>
    </xf>
    <xf numFmtId="0" fontId="8" fillId="3" borderId="49" applyAlignment="1" pivotButton="0" quotePrefix="1" xfId="0">
      <alignment horizontal="left" vertical="top"/>
    </xf>
    <xf numFmtId="0" fontId="8" fillId="3" borderId="18" applyAlignment="1" pivotButton="0" quotePrefix="1" xfId="0">
      <alignment horizontal="left" vertical="top"/>
    </xf>
    <xf numFmtId="0" fontId="8" fillId="3" borderId="9" applyAlignment="1" pivotButton="0" quotePrefix="1" xfId="0">
      <alignment horizontal="left" vertical="top"/>
    </xf>
    <xf numFmtId="0" fontId="8" fillId="3" borderId="46" applyAlignment="1" pivotButton="0" quotePrefix="1" xfId="0">
      <alignment horizontal="left" vertical="top"/>
    </xf>
    <xf numFmtId="0" fontId="8" fillId="3" borderId="44" applyAlignment="1" pivotButton="0" quotePrefix="1" xfId="0">
      <alignment horizontal="left" vertical="top"/>
    </xf>
    <xf numFmtId="0" fontId="3" fillId="4" borderId="43" applyAlignment="1" pivotButton="0" quotePrefix="0" xfId="0">
      <alignment horizontal="left" vertical="top"/>
    </xf>
    <xf numFmtId="0" fontId="3" fillId="4" borderId="44" applyAlignment="1" pivotButton="0" quotePrefix="0" xfId="0">
      <alignment horizontal="left" vertical="top"/>
    </xf>
    <xf numFmtId="0" fontId="8" fillId="2" borderId="43" applyAlignment="1" pivotButton="0" quotePrefix="0" xfId="0">
      <alignment horizontal="center" vertical="center"/>
    </xf>
    <xf numFmtId="165" fontId="3" fillId="2" borderId="31" applyAlignment="1" pivotButton="0" quotePrefix="0" xfId="0">
      <alignment horizontal="center" vertical="center"/>
    </xf>
    <xf numFmtId="0" fontId="8" fillId="2" borderId="31" applyAlignment="1" pivotButton="0" quotePrefix="0" xfId="0">
      <alignment horizontal="center" vertical="center"/>
    </xf>
    <xf numFmtId="0" fontId="9" fillId="3" borderId="37" applyAlignment="1" pivotButton="0" quotePrefix="0" xfId="0">
      <alignment horizontal="center" vertical="center"/>
    </xf>
    <xf numFmtId="2" fontId="8" fillId="3" borderId="48" applyAlignment="1" pivotButton="0" quotePrefix="0" xfId="0">
      <alignment horizontal="left" vertical="top"/>
    </xf>
    <xf numFmtId="0" fontId="8" fillId="3" borderId="48" applyAlignment="1" pivotButton="0" quotePrefix="1" xfId="0">
      <alignment horizontal="left" vertical="top"/>
    </xf>
    <xf numFmtId="2" fontId="8" fillId="3" borderId="10" applyAlignment="1" pivotButton="0" quotePrefix="0" xfId="0">
      <alignment vertical="top"/>
    </xf>
    <xf numFmtId="2" fontId="8" fillId="3" borderId="15" applyAlignment="1" pivotButton="0" quotePrefix="0" xfId="0">
      <alignment vertical="top"/>
    </xf>
    <xf numFmtId="2" fontId="8" fillId="3" borderId="16" applyAlignment="1" pivotButton="0" quotePrefix="0" xfId="0">
      <alignment vertical="top"/>
    </xf>
    <xf numFmtId="0" fontId="0" fillId="10" borderId="0" pivotButton="0" quotePrefix="0" xfId="0"/>
    <xf numFmtId="0" fontId="11" fillId="8" borderId="38" applyAlignment="1" pivotButton="0" quotePrefix="0" xfId="0">
      <alignment horizontal="left" wrapText="1"/>
    </xf>
    <xf numFmtId="0" fontId="11" fillId="8" borderId="25" applyAlignment="1" pivotButton="0" quotePrefix="0" xfId="0">
      <alignment vertical="top" wrapText="1"/>
    </xf>
    <xf numFmtId="0" fontId="8" fillId="4" borderId="17" applyAlignment="1" pivotButton="0" quotePrefix="0" xfId="0">
      <alignment horizontal="left" vertical="center"/>
    </xf>
    <xf numFmtId="0" fontId="8" fillId="4" borderId="24" applyAlignment="1" pivotButton="0" quotePrefix="0" xfId="0">
      <alignment horizontal="left" vertical="center"/>
    </xf>
    <xf numFmtId="43" fontId="9" fillId="5" borderId="6" applyAlignment="1" pivotButton="0" quotePrefix="0" xfId="1">
      <alignment horizontal="left" vertical="center" wrapText="1"/>
    </xf>
    <xf numFmtId="43" fontId="9" fillId="5" borderId="7" applyAlignment="1" pivotButton="0" quotePrefix="0" xfId="1">
      <alignment horizontal="left" vertical="center" wrapText="1"/>
    </xf>
    <xf numFmtId="43" fontId="9" fillId="5" borderId="8" applyAlignment="1" pivotButton="0" quotePrefix="0" xfId="1">
      <alignment horizontal="left" vertical="center" wrapText="1"/>
    </xf>
    <xf numFmtId="43" fontId="9" fillId="5" borderId="1" applyAlignment="1" pivotButton="0" quotePrefix="0" xfId="1">
      <alignment horizontal="left" vertical="center" wrapText="1"/>
    </xf>
    <xf numFmtId="0" fontId="9" fillId="5" borderId="7" applyAlignment="1" pivotButton="0" quotePrefix="0" xfId="0">
      <alignment horizontal="left" vertical="center"/>
    </xf>
    <xf numFmtId="0" fontId="9" fillId="5" borderId="40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9" fillId="5" borderId="34" applyAlignment="1" pivotButton="0" quotePrefix="0" xfId="0">
      <alignment horizontal="left" vertical="center"/>
    </xf>
    <xf numFmtId="0" fontId="6" fillId="5" borderId="3" applyAlignment="1" pivotButton="0" quotePrefix="0" xfId="0">
      <alignment horizontal="left" vertical="center"/>
    </xf>
    <xf numFmtId="0" fontId="6" fillId="5" borderId="4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/>
    </xf>
    <xf numFmtId="0" fontId="6" fillId="5" borderId="7" applyAlignment="1" pivotButton="0" quotePrefix="0" xfId="0">
      <alignment horizontal="left" vertical="center"/>
    </xf>
    <xf numFmtId="0" fontId="6" fillId="5" borderId="8" applyAlignment="1" pivotButton="0" quotePrefix="0" xfId="0">
      <alignment horizontal="left" vertical="center"/>
    </xf>
    <xf numFmtId="0" fontId="6" fillId="5" borderId="2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8" fillId="4" borderId="19" applyAlignment="1" pivotButton="0" quotePrefix="0" xfId="0">
      <alignment horizontal="left" vertical="center"/>
    </xf>
    <xf numFmtId="0" fontId="8" fillId="4" borderId="32" applyAlignment="1" pivotButton="0" quotePrefix="0" xfId="0">
      <alignment horizontal="left" vertical="center"/>
    </xf>
    <xf numFmtId="2" fontId="8" fillId="3" borderId="41" applyAlignment="1" pivotButton="0" quotePrefix="0" xfId="0">
      <alignment horizontal="left" vertical="top"/>
    </xf>
    <xf numFmtId="2" fontId="8" fillId="3" borderId="39" applyAlignment="1" pivotButton="0" quotePrefix="0" xfId="0">
      <alignment horizontal="left" vertical="top"/>
    </xf>
    <xf numFmtId="0" fontId="3" fillId="4" borderId="48" applyAlignment="1" pivotButton="0" quotePrefix="0" xfId="0">
      <alignment horizontal="center" vertical="top"/>
    </xf>
    <xf numFmtId="0" fontId="3" fillId="4" borderId="40" applyAlignment="1" pivotButton="0" quotePrefix="0" xfId="0">
      <alignment horizontal="center" vertical="top"/>
    </xf>
    <xf numFmtId="0" fontId="3" fillId="4" borderId="34" applyAlignment="1" pivotButton="0" quotePrefix="0" xfId="0">
      <alignment horizontal="center" vertical="top"/>
    </xf>
    <xf numFmtId="0" fontId="3" fillId="4" borderId="32" applyAlignment="1" pivotButton="0" quotePrefix="0" xfId="0">
      <alignment horizontal="center" vertical="top"/>
    </xf>
    <xf numFmtId="0" fontId="3" fillId="4" borderId="9" applyAlignment="1" pivotButton="0" quotePrefix="0" xfId="0">
      <alignment horizontal="center" vertical="top"/>
    </xf>
    <xf numFmtId="0" fontId="3" fillId="4" borderId="0" applyAlignment="1" pivotButton="0" quotePrefix="0" xfId="0">
      <alignment horizontal="center" vertical="top"/>
    </xf>
    <xf numFmtId="0" fontId="3" fillId="4" borderId="7" applyAlignment="1" pivotButton="0" quotePrefix="0" xfId="0">
      <alignment horizontal="center" vertical="top"/>
    </xf>
    <xf numFmtId="0" fontId="3" fillId="4" borderId="2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  <xf numFmtId="2" fontId="8" fillId="3" borderId="20" applyAlignment="1" pivotButton="0" quotePrefix="0" xfId="0">
      <alignment horizontal="center" vertical="top"/>
    </xf>
    <xf numFmtId="2" fontId="8" fillId="3" borderId="21" applyAlignment="1" pivotButton="0" quotePrefix="0" xfId="0">
      <alignment horizontal="center" vertical="top"/>
    </xf>
    <xf numFmtId="2" fontId="8" fillId="3" borderId="22" applyAlignment="1" pivotButton="0" quotePrefix="0" xfId="0">
      <alignment horizontal="center" vertical="top"/>
    </xf>
    <xf numFmtId="2" fontId="8" fillId="3" borderId="24" applyAlignment="1" pivotButton="0" quotePrefix="0" xfId="0">
      <alignment horizontal="left" vertical="top"/>
    </xf>
    <xf numFmtId="2" fontId="8" fillId="3" borderId="18" applyAlignment="1" pivotButton="0" quotePrefix="0" xfId="0">
      <alignment horizontal="left" vertical="top"/>
    </xf>
    <xf numFmtId="2" fontId="8" fillId="3" borderId="12" applyAlignment="1" pivotButton="0" quotePrefix="0" xfId="0">
      <alignment horizontal="center" vertical="top"/>
    </xf>
    <xf numFmtId="2" fontId="8" fillId="3" borderId="13" applyAlignment="1" pivotButton="0" quotePrefix="0" xfId="0">
      <alignment horizontal="center" vertical="top"/>
    </xf>
    <xf numFmtId="2" fontId="8" fillId="3" borderId="14" applyAlignment="1" pivotButton="0" quotePrefix="0" xfId="0">
      <alignment horizontal="center" vertical="top"/>
    </xf>
    <xf numFmtId="0" fontId="4" fillId="9" borderId="6" applyAlignment="1" pivotButton="0" quotePrefix="0" xfId="0">
      <alignment horizontal="center" vertical="top" wrapText="1"/>
    </xf>
    <xf numFmtId="0" fontId="4" fillId="9" borderId="7" applyAlignment="1" pivotButton="0" quotePrefix="0" xfId="0">
      <alignment horizontal="center" vertical="top" wrapText="1"/>
    </xf>
    <xf numFmtId="0" fontId="4" fillId="9" borderId="8" applyAlignment="1" pivotButton="0" quotePrefix="0" xfId="0">
      <alignment horizontal="center" vertical="top" wrapText="1"/>
    </xf>
    <xf numFmtId="0" fontId="4" fillId="9" borderId="2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center" vertical="top" wrapText="1"/>
    </xf>
    <xf numFmtId="0" fontId="7" fillId="9" borderId="3" applyAlignment="1" pivotButton="0" quotePrefix="0" xfId="0">
      <alignment horizontal="center" vertical="center" wrapText="1"/>
    </xf>
    <xf numFmtId="0" fontId="7" fillId="9" borderId="4" applyAlignment="1" pivotButton="0" quotePrefix="0" xfId="0">
      <alignment horizontal="center" vertical="center" wrapText="1"/>
    </xf>
    <xf numFmtId="0" fontId="7" fillId="9" borderId="5" applyAlignment="1" pivotButton="0" quotePrefix="0" xfId="0">
      <alignment horizontal="center" vertical="center" wrapText="1"/>
    </xf>
    <xf numFmtId="0" fontId="7" fillId="9" borderId="6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center" vertical="center" wrapText="1"/>
    </xf>
    <xf numFmtId="0" fontId="7" fillId="9" borderId="7" applyAlignment="1" pivotButton="0" quotePrefix="0" xfId="0">
      <alignment horizontal="center" vertical="center" wrapText="1"/>
    </xf>
    <xf numFmtId="0" fontId="3" fillId="2" borderId="43" applyAlignment="1" pivotButton="0" quotePrefix="0" xfId="0">
      <alignment horizontal="center" vertical="center"/>
    </xf>
    <xf numFmtId="0" fontId="3" fillId="2" borderId="44" applyAlignment="1" pivotButton="0" quotePrefix="0" xfId="0">
      <alignment horizontal="center" vertical="center"/>
    </xf>
    <xf numFmtId="0" fontId="3" fillId="2" borderId="45" applyAlignment="1" pivotButton="0" quotePrefix="0" xfId="0">
      <alignment horizontal="center" vertical="center"/>
    </xf>
    <xf numFmtId="0" fontId="3" fillId="4" borderId="50" applyAlignment="1" pivotButton="0" quotePrefix="0" xfId="0">
      <alignment horizontal="left" vertical="center"/>
    </xf>
    <xf numFmtId="0" fontId="3" fillId="4" borderId="23" applyAlignment="1" pivotButton="0" quotePrefix="0" xfId="0">
      <alignment horizontal="left" vertical="center"/>
    </xf>
    <xf numFmtId="0" fontId="3" fillId="4" borderId="24" applyAlignment="1" pivotButton="0" quotePrefix="0" xfId="0">
      <alignment horizontal="left" vertical="top"/>
    </xf>
    <xf numFmtId="0" fontId="3" fillId="4" borderId="18" applyAlignment="1" pivotButton="0" quotePrefix="0" xfId="0">
      <alignment horizontal="left" vertical="top"/>
    </xf>
    <xf numFmtId="2" fontId="8" fillId="3" borderId="19" applyAlignment="1" pivotButton="0" quotePrefix="0" xfId="0">
      <alignment horizontal="left" vertical="top"/>
    </xf>
    <xf numFmtId="2" fontId="8" fillId="3" borderId="9" applyAlignment="1" pivotButton="0" quotePrefix="0" xfId="0">
      <alignment horizontal="left" vertical="top"/>
    </xf>
    <xf numFmtId="165" fontId="3" fillId="2" borderId="40" applyAlignment="1" pivotButton="0" quotePrefix="0" xfId="0">
      <alignment horizontal="center" vertical="center"/>
    </xf>
    <xf numFmtId="165" fontId="3" fillId="2" borderId="34" applyAlignment="1" pivotButton="0" quotePrefix="0" xfId="0">
      <alignment horizontal="center" vertical="center"/>
    </xf>
    <xf numFmtId="0" fontId="7" fillId="4" borderId="36" applyAlignment="1" pivotButton="0" quotePrefix="0" xfId="0">
      <alignment horizontal="center" vertical="center"/>
    </xf>
    <xf numFmtId="0" fontId="7" fillId="4" borderId="42" applyAlignment="1" pivotButton="0" quotePrefix="0" xfId="0">
      <alignment horizontal="center" vertical="center"/>
    </xf>
    <xf numFmtId="0" fontId="7" fillId="4" borderId="37" applyAlignment="1" pivotButton="0" quotePrefix="0" xfId="0">
      <alignment horizontal="center" vertical="center"/>
    </xf>
    <xf numFmtId="0" fontId="13" fillId="4" borderId="3" applyAlignment="1" pivotButton="0" quotePrefix="0" xfId="0">
      <alignment horizontal="center" vertical="center"/>
    </xf>
    <xf numFmtId="0" fontId="13" fillId="4" borderId="4" applyAlignment="1" pivotButton="0" quotePrefix="0" xfId="0">
      <alignment horizontal="center" vertical="center"/>
    </xf>
    <xf numFmtId="0" fontId="13" fillId="4" borderId="5" applyAlignment="1" pivotButton="0" quotePrefix="0" xfId="0">
      <alignment horizontal="center" vertical="center"/>
    </xf>
    <xf numFmtId="0" fontId="13" fillId="4" borderId="8" applyAlignment="1" pivotButton="0" quotePrefix="0" xfId="0">
      <alignment horizontal="center" vertical="center"/>
    </xf>
    <xf numFmtId="0" fontId="13" fillId="4" borderId="2" applyAlignment="1" pivotButton="0" quotePrefix="0" xfId="0">
      <alignment horizontal="center" vertical="center"/>
    </xf>
    <xf numFmtId="0" fontId="8" fillId="4" borderId="30" applyAlignment="1" pivotButton="0" quotePrefix="0" xfId="0">
      <alignment horizontal="left" vertical="center"/>
    </xf>
    <xf numFmtId="0" fontId="8" fillId="4" borderId="28" applyAlignment="1" pivotButton="0" quotePrefix="0" xfId="0">
      <alignment horizontal="left" vertical="center"/>
    </xf>
    <xf numFmtId="2" fontId="8" fillId="3" borderId="48" applyAlignment="1" pivotButton="0" quotePrefix="0" xfId="0">
      <alignment horizontal="left" vertical="center"/>
    </xf>
    <xf numFmtId="2" fontId="8" fillId="3" borderId="43" applyAlignment="1" pivotButton="0" quotePrefix="0" xfId="0">
      <alignment horizontal="left" vertical="center"/>
    </xf>
    <xf numFmtId="0" fontId="7" fillId="2" borderId="40" applyAlignment="1" pivotButton="0" quotePrefix="0" xfId="0">
      <alignment horizontal="center" vertical="center"/>
    </xf>
    <xf numFmtId="0" fontId="7" fillId="2" borderId="43" applyAlignment="1" pivotButton="0" quotePrefix="0" xfId="0">
      <alignment horizontal="center" vertical="center"/>
    </xf>
    <xf numFmtId="0" fontId="3" fillId="4" borderId="28" applyAlignment="1" pivotButton="0" quotePrefix="0" xfId="0">
      <alignment horizontal="left" vertical="top"/>
    </xf>
    <xf numFmtId="0" fontId="3" fillId="4" borderId="35" applyAlignment="1" pivotButton="0" quotePrefix="0" xfId="0">
      <alignment horizontal="left" vertical="top"/>
    </xf>
    <xf numFmtId="0" fontId="3" fillId="2" borderId="32" applyAlignment="1" pivotButton="0" quotePrefix="0" xfId="0">
      <alignment horizontal="center" vertical="center"/>
    </xf>
    <xf numFmtId="165" fontId="3" fillId="2" borderId="6" applyAlignment="1" pivotButton="0" quotePrefix="0" xfId="0">
      <alignment horizontal="center" vertical="center"/>
    </xf>
    <xf numFmtId="165" fontId="3" fillId="2" borderId="8" applyAlignment="1" pivotButton="0" quotePrefix="0" xfId="0">
      <alignment horizontal="center" vertical="center"/>
    </xf>
    <xf numFmtId="0" fontId="9" fillId="3" borderId="36" applyAlignment="1" pivotButton="0" quotePrefix="0" xfId="0">
      <alignment horizontal="center" vertical="center"/>
    </xf>
    <xf numFmtId="0" fontId="9" fillId="3" borderId="37" applyAlignment="1" pivotButton="0" quotePrefix="0" xfId="0">
      <alignment horizontal="center" vertical="center"/>
    </xf>
    <xf numFmtId="2" fontId="8" fillId="3" borderId="30" applyAlignment="1" pivotButton="0" quotePrefix="0" xfId="0">
      <alignment horizontal="left" vertical="top"/>
    </xf>
    <xf numFmtId="2" fontId="8" fillId="3" borderId="35" applyAlignment="1" pivotButton="0" quotePrefix="0" xfId="0">
      <alignment horizontal="left" vertical="top"/>
    </xf>
    <xf numFmtId="0" fontId="7" fillId="3" borderId="36" applyAlignment="1" pivotButton="0" quotePrefix="0" xfId="0">
      <alignment horizontal="center" vertical="center"/>
    </xf>
    <xf numFmtId="0" fontId="7" fillId="3" borderId="42" applyAlignment="1" pivotButton="0" quotePrefix="0" xfId="0">
      <alignment horizontal="center" vertical="center"/>
    </xf>
    <xf numFmtId="0" fontId="7" fillId="3" borderId="37" applyAlignment="1" pivotButton="0" quotePrefix="0" xfId="0">
      <alignment horizontal="center" vertical="center"/>
    </xf>
    <xf numFmtId="165" fontId="7" fillId="2" borderId="2" applyAlignment="1" pivotButton="0" quotePrefix="0" xfId="0">
      <alignment horizontal="center" vertical="center"/>
    </xf>
    <xf numFmtId="2" fontId="8" fillId="3" borderId="19" applyAlignment="1" pivotButton="0" quotePrefix="0" xfId="0">
      <alignment horizontal="left" vertical="center"/>
    </xf>
    <xf numFmtId="2" fontId="8" fillId="3" borderId="9" applyAlignment="1" pivotButton="0" quotePrefix="0" xfId="0">
      <alignment horizontal="left" vertical="center"/>
    </xf>
    <xf numFmtId="2" fontId="8" fillId="3" borderId="30" applyAlignment="1" pivotButton="0" quotePrefix="0" xfId="0">
      <alignment horizontal="left" vertical="center"/>
    </xf>
    <xf numFmtId="2" fontId="8" fillId="3" borderId="35" applyAlignment="1" pivotButton="0" quotePrefix="0" xfId="0">
      <alignment horizontal="left" vertical="center"/>
    </xf>
    <xf numFmtId="0" fontId="4" fillId="9" borderId="0" applyAlignment="1" pivotButton="0" quotePrefix="0" xfId="0">
      <alignment horizontal="center" vertical="top" wrapText="1"/>
    </xf>
    <xf numFmtId="0" fontId="7" fillId="9" borderId="54" applyAlignment="1" pivotButton="0" quotePrefix="0" xfId="0">
      <alignment horizontal="center" vertical="center" wrapText="1"/>
    </xf>
    <xf numFmtId="0" fontId="4" fillId="9" borderId="34" applyAlignment="1" pivotButton="0" quotePrefix="0" xfId="0">
      <alignment horizontal="center" vertical="top" wrapText="1"/>
    </xf>
    <xf numFmtId="165" fontId="7" fillId="2" borderId="2" applyAlignment="1" pivotButton="0" quotePrefix="0" xfId="0">
      <alignment horizontal="center" vertical="center"/>
    </xf>
    <xf numFmtId="165" fontId="3" fillId="2" borderId="34" applyAlignment="1" pivotButton="0" quotePrefix="0" xfId="0">
      <alignment horizontal="center" vertical="center"/>
    </xf>
    <xf numFmtId="165" fontId="3" fillId="2" borderId="8" applyAlignment="1" pivotButton="0" quotePrefix="0" xfId="0">
      <alignment horizontal="center" vertical="center"/>
    </xf>
    <xf numFmtId="0" fontId="0" fillId="0" borderId="43" pivotButton="0" quotePrefix="0" xfId="0"/>
    <xf numFmtId="165" fontId="3" fillId="2" borderId="31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40" pivotButton="0" quotePrefix="0" xfId="0"/>
    <xf numFmtId="165" fontId="3" fillId="2" borderId="43" applyAlignment="1" pivotButton="0" quotePrefix="0" xfId="0">
      <alignment horizontal="center" vertical="center"/>
    </xf>
    <xf numFmtId="165" fontId="3" fillId="2" borderId="27" applyAlignment="1" pivotButton="0" quotePrefix="0" xfId="0">
      <alignment horizontal="center" vertical="center"/>
    </xf>
    <xf numFmtId="165" fontId="3" fillId="2" borderId="29" applyAlignment="1" pivotButton="0" quotePrefix="0" xfId="0">
      <alignment horizontal="center" vertical="center"/>
    </xf>
    <xf numFmtId="0" fontId="0" fillId="0" borderId="32" pivotButton="0" quotePrefix="0" xfId="0"/>
    <xf numFmtId="164" fontId="0" fillId="0" borderId="10" pivotButton="0" quotePrefix="0" xfId="0"/>
    <xf numFmtId="0" fontId="13" fillId="4" borderId="36" applyAlignment="1" pivotButton="0" quotePrefix="0" xfId="0">
      <alignment horizontal="center" vertical="center"/>
    </xf>
    <xf numFmtId="0" fontId="7" fillId="3" borderId="31" applyAlignment="1" pivotButton="0" quotePrefix="0" xfId="0">
      <alignment horizontal="center" vertical="center"/>
    </xf>
    <xf numFmtId="0" fontId="0" fillId="0" borderId="42" pivotButton="0" quotePrefix="0" xfId="0"/>
    <xf numFmtId="0" fontId="0" fillId="0" borderId="37" pivotButton="0" quotePrefix="0" xfId="0"/>
    <xf numFmtId="0" fontId="7" fillId="4" borderId="31" applyAlignment="1" pivotButton="0" quotePrefix="0" xfId="0">
      <alignment horizontal="center" vertical="center"/>
    </xf>
    <xf numFmtId="0" fontId="0" fillId="0" borderId="50" pivotButton="0" quotePrefix="0" xfId="0"/>
    <xf numFmtId="164" fontId="5" fillId="0" borderId="10" applyAlignment="1" pivotButton="0" quotePrefix="0" xfId="0">
      <alignment vertical="center"/>
    </xf>
    <xf numFmtId="0" fontId="0" fillId="0" borderId="28" pivotButton="0" quotePrefix="0" xfId="0"/>
    <xf numFmtId="0" fontId="0" fillId="0" borderId="35" pivotButton="0" quotePrefix="0" xfId="0"/>
    <xf numFmtId="0" fontId="0" fillId="0" borderId="24" pivotButton="0" quotePrefix="0" xfId="0"/>
    <xf numFmtId="2" fontId="8" fillId="3" borderId="44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8" pivotButton="0" quotePrefix="0" xfId="0"/>
    <xf numFmtId="0" fontId="0" fillId="0" borderId="30" pivotButton="0" quotePrefix="0" xfId="0"/>
    <xf numFmtId="0" fontId="0" fillId="0" borderId="52" pivotButton="0" quotePrefix="0" xfId="0"/>
    <xf numFmtId="0" fontId="0" fillId="0" borderId="53" pivotButton="0" quotePrefix="0" xfId="0"/>
    <xf numFmtId="0" fontId="3" fillId="4" borderId="45" applyAlignment="1" pivotButton="0" quotePrefix="0" xfId="0">
      <alignment horizontal="center" vertical="top"/>
    </xf>
    <xf numFmtId="0" fontId="3" fillId="4" borderId="39" applyAlignment="1" pivotButton="0" quotePrefix="0" xfId="0">
      <alignment horizontal="center" vertical="top"/>
    </xf>
    <xf numFmtId="0" fontId="0" fillId="0" borderId="41" pivotButton="0" quotePrefix="0" xfId="0"/>
    <xf numFmtId="0" fontId="0" fillId="0" borderId="56" pivotButton="0" quotePrefix="0" xfId="0"/>
    <xf numFmtId="0" fontId="0" fillId="0" borderId="39" pivotButton="0" quotePrefix="0" xfId="0"/>
    <xf numFmtId="0" fontId="6" fillId="5" borderId="31" applyAlignment="1" pivotButton="0" quotePrefix="0" xfId="0">
      <alignment horizontal="left" vertical="center"/>
    </xf>
    <xf numFmtId="43" fontId="9" fillId="5" borderId="34" applyAlignment="1" pivotButton="0" quotePrefix="0" xfId="1">
      <alignment horizontal="left" vertical="center" wrapText="1"/>
    </xf>
  </cellXfs>
  <cellStyles count="2">
    <cellStyle name="Normal" xfId="0" builtinId="0"/>
    <cellStyle name="Comma" xfId="1" builtin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2"/>
  <sheetViews>
    <sheetView tabSelected="1" topLeftCell="B40" zoomScale="98" zoomScaleNormal="98" workbookViewId="0">
      <selection activeCell="C46" sqref="C46:O47"/>
    </sheetView>
  </sheetViews>
  <sheetFormatPr baseColWidth="8" defaultRowHeight="15"/>
  <cols>
    <col width="14.5703125" customWidth="1" min="1" max="1"/>
    <col width="8.140625" customWidth="1" min="2" max="2"/>
    <col width="16.140625" bestFit="1" customWidth="1" min="3" max="3"/>
    <col width="10.5703125" customWidth="1" min="5" max="5"/>
    <col width="20.7109375" customWidth="1" min="6" max="6"/>
    <col width="17.85546875" customWidth="1" min="7" max="7"/>
    <col width="12.42578125" customWidth="1" min="8" max="8"/>
    <col width="12.85546875" customWidth="1" min="9" max="9"/>
    <col width="11.42578125" customWidth="1" min="10" max="10"/>
    <col width="10.85546875" customWidth="1" min="11" max="11"/>
    <col width="12.42578125" bestFit="1" customWidth="1" min="12" max="12"/>
    <col width="13.7109375" customWidth="1" min="13" max="13"/>
    <col width="11.42578125" customWidth="1" min="14" max="14"/>
    <col width="12.28515625" bestFit="1" customWidth="1" min="15" max="15"/>
    <col width="36.42578125" customWidth="1" min="22" max="22"/>
    <col width="19" bestFit="1" customWidth="1" min="23" max="23"/>
    <col width="13.140625" bestFit="1" customWidth="1" min="24" max="24"/>
    <col width="18.7109375" customWidth="1" min="25" max="25"/>
    <col width="15.85546875" customWidth="1" min="26" max="26"/>
    <col width="15.7109375" customWidth="1" min="27" max="27"/>
  </cols>
  <sheetData>
    <row r="1" ht="60.75" customHeight="1" thickBot="1">
      <c r="A1" s="2" t="inlineStr">
        <is>
          <t>Province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4" t="n"/>
      <c r="K1" s="22" t="inlineStr">
        <is>
          <t>Data For</t>
        </is>
      </c>
      <c r="L1" s="22" t="inlineStr">
        <is>
          <t>Empty</t>
        </is>
      </c>
      <c r="M1" s="22" t="inlineStr">
        <is>
          <t>State 1</t>
        </is>
      </c>
      <c r="N1" s="22" t="inlineStr">
        <is>
          <t>State 2</t>
        </is>
      </c>
      <c r="O1" s="22" t="inlineStr">
        <is>
          <t>Bagmati</t>
        </is>
      </c>
      <c r="P1" s="22" t="inlineStr">
        <is>
          <t>Gandaki</t>
        </is>
      </c>
      <c r="Q1" s="22" t="inlineStr">
        <is>
          <t>Lumbini</t>
        </is>
      </c>
      <c r="R1" s="22" t="inlineStr">
        <is>
          <t>Karnali</t>
        </is>
      </c>
      <c r="S1" s="22" t="inlineStr">
        <is>
          <t>Sudur Paschimanchal</t>
        </is>
      </c>
      <c r="T1" s="22" t="inlineStr">
        <is>
          <t>Total</t>
        </is>
      </c>
      <c r="V1" s="61" t="inlineStr">
        <is>
          <t>Data For</t>
        </is>
      </c>
      <c r="W1" s="61" t="inlineStr">
        <is>
          <t>Amount</t>
        </is>
      </c>
      <c r="X1" s="61" t="inlineStr">
        <is>
          <t>Employer</t>
        </is>
      </c>
      <c r="Y1" s="61" t="inlineStr">
        <is>
          <t>Contributor</t>
        </is>
      </c>
    </row>
    <row r="2" ht="18.6" customHeight="1" thickBot="1">
      <c r="A2" s="5" t="inlineStr">
        <is>
          <t>Employer</t>
        </is>
      </c>
      <c r="B2">
        <f>SUM(M2:M4)</f>
        <v/>
      </c>
      <c r="C2">
        <f>SUM(N2:N4)</f>
        <v/>
      </c>
      <c r="D2">
        <f>SUM(O2:O4)+L3</f>
        <v/>
      </c>
      <c r="E2">
        <f>SUM(P2:P4)</f>
        <v/>
      </c>
      <c r="F2">
        <f>SUM(Q2:Q4)</f>
        <v/>
      </c>
      <c r="G2">
        <f>SUM(R2:R4)</f>
        <v/>
      </c>
      <c r="H2">
        <f>SUM(S2:S4)</f>
        <v/>
      </c>
      <c r="I2" s="6">
        <f>SUM(B2:H2)</f>
        <v/>
      </c>
      <c r="K2" s="23" t="inlineStr">
        <is>
          <t>EMPLOYER_VERIFIED</t>
        </is>
      </c>
      <c r="L2" s="23" t="n">
        <v>0</v>
      </c>
      <c r="M2" s="23" t="n">
        <v>2183</v>
      </c>
      <c r="N2" s="23" t="n">
        <v>1041</v>
      </c>
      <c r="O2" s="23" t="n">
        <v>11872</v>
      </c>
      <c r="P2" s="23" t="n">
        <v>1127</v>
      </c>
      <c r="Q2" s="23" t="n">
        <v>1722</v>
      </c>
      <c r="R2" s="23" t="n">
        <v>226</v>
      </c>
      <c r="S2" s="23" t="n">
        <v>285</v>
      </c>
      <c r="T2" s="23" t="n">
        <v>18456</v>
      </c>
      <c r="V2" s="22" t="inlineStr">
        <is>
          <t>Closing Collection Total</t>
        </is>
      </c>
      <c r="W2" s="22" t="n">
        <v>110206543395.84</v>
      </c>
      <c r="X2" s="22" t="n">
        <v>9086</v>
      </c>
      <c r="Y2" s="22" t="n">
        <v>2737255</v>
      </c>
    </row>
    <row r="3" ht="43.5" customHeight="1" thickBot="1">
      <c r="A3" s="5" t="inlineStr">
        <is>
          <t>Contributor</t>
        </is>
      </c>
      <c r="B3">
        <f>SUM(M6:M9)</f>
        <v/>
      </c>
      <c r="C3">
        <f>SUM(N6:N9)</f>
        <v/>
      </c>
      <c r="D3">
        <f>SUM(O6:O9)</f>
        <v/>
      </c>
      <c r="E3">
        <f>SUM(P6:P9)</f>
        <v/>
      </c>
      <c r="F3">
        <f>SUM(Q6:Q9)</f>
        <v/>
      </c>
      <c r="G3">
        <f>SUM(R6:R9)</f>
        <v/>
      </c>
      <c r="H3">
        <f>SUM(S6:S9)</f>
        <v/>
      </c>
      <c r="I3" s="6">
        <f>SUM(T6:T14)</f>
        <v/>
      </c>
      <c r="K3" s="24" t="inlineStr">
        <is>
          <t>EMPLOYER_SAVED</t>
        </is>
      </c>
      <c r="L3" s="24" t="n">
        <v>2016</v>
      </c>
      <c r="M3" s="24" t="n">
        <v>482</v>
      </c>
      <c r="N3" s="24" t="n">
        <v>308</v>
      </c>
      <c r="O3" s="24" t="n">
        <v>1774</v>
      </c>
      <c r="P3" s="24" t="n">
        <v>255</v>
      </c>
      <c r="Q3" s="24" t="n">
        <v>413</v>
      </c>
      <c r="R3" s="24" t="n">
        <v>105</v>
      </c>
      <c r="S3" s="24" t="n">
        <v>107</v>
      </c>
      <c r="T3" s="24" t="n">
        <v>5460</v>
      </c>
      <c r="V3" s="62" t="inlineStr">
        <is>
          <t>Collection Total</t>
        </is>
      </c>
      <c r="W3" s="62" t="n">
        <v>110206543395.84</v>
      </c>
      <c r="X3" s="62" t="n">
        <v>9086</v>
      </c>
      <c r="Y3" s="62" t="n">
        <v>2737255</v>
      </c>
    </row>
    <row r="4" ht="57.75" customHeight="1" thickBot="1">
      <c r="A4" s="5" t="n"/>
      <c r="B4" t="n">
        <v>1860</v>
      </c>
      <c r="C4" t="n">
        <v>551</v>
      </c>
      <c r="D4" t="n">
        <v>8997</v>
      </c>
      <c r="E4" t="n">
        <v>608</v>
      </c>
      <c r="F4" t="n">
        <v>974</v>
      </c>
      <c r="G4" t="n">
        <v>137</v>
      </c>
      <c r="H4" t="n">
        <v>156</v>
      </c>
      <c r="I4" s="6" t="n">
        <v>13283</v>
      </c>
      <c r="K4" s="23" t="inlineStr">
        <is>
          <t>EMPLOYER_SUBMITTED</t>
        </is>
      </c>
      <c r="L4" s="23" t="n">
        <v>0</v>
      </c>
      <c r="M4" s="23" t="n">
        <v>0</v>
      </c>
      <c r="N4" s="23" t="n">
        <v>0</v>
      </c>
      <c r="O4" s="23" t="n">
        <v>0</v>
      </c>
      <c r="P4" s="23" t="n">
        <v>0</v>
      </c>
      <c r="Q4" s="23" t="n">
        <v>0</v>
      </c>
      <c r="R4" s="23" t="n">
        <v>0</v>
      </c>
      <c r="S4" s="23" t="n">
        <v>0</v>
      </c>
      <c r="T4" s="23" t="n">
        <v>0</v>
      </c>
      <c r="V4" s="22" t="inlineStr">
        <is>
          <t>Penalty Total</t>
        </is>
      </c>
      <c r="W4" s="22" t="n">
        <v>39.24</v>
      </c>
      <c r="X4" s="22" t="n">
        <v>0</v>
      </c>
      <c r="Y4" s="22" t="n">
        <v>0</v>
      </c>
    </row>
    <row r="5" ht="45.75" customHeight="1" thickBot="1">
      <c r="A5" s="7" t="n"/>
      <c r="B5" s="8" t="n">
        <v>19622</v>
      </c>
      <c r="C5" s="8" t="n">
        <v>13722</v>
      </c>
      <c r="D5" s="8" t="n">
        <v>142141</v>
      </c>
      <c r="E5" s="8" t="n">
        <v>7094</v>
      </c>
      <c r="F5" s="8" t="n">
        <v>6182</v>
      </c>
      <c r="G5" s="8" t="n">
        <v>461</v>
      </c>
      <c r="H5" s="8" t="n">
        <v>699</v>
      </c>
      <c r="I5" s="9" t="n">
        <v>189921</v>
      </c>
      <c r="K5" s="22" t="inlineStr">
        <is>
          <t>EMPLOYER_TOTAL</t>
        </is>
      </c>
      <c r="L5" s="22" t="n">
        <v>2016</v>
      </c>
      <c r="M5" s="22" t="n">
        <v>2665</v>
      </c>
      <c r="N5" s="22" t="n">
        <v>1349</v>
      </c>
      <c r="O5" s="22" t="n">
        <v>13646</v>
      </c>
      <c r="P5" s="22" t="n">
        <v>1382</v>
      </c>
      <c r="Q5" s="22" t="n">
        <v>2135</v>
      </c>
      <c r="R5" s="22" t="n">
        <v>331</v>
      </c>
      <c r="S5" s="22" t="n">
        <v>392</v>
      </c>
      <c r="T5" s="22" t="n">
        <v>23916</v>
      </c>
      <c r="V5" s="23" t="inlineStr">
        <is>
          <t>Collection Today</t>
        </is>
      </c>
      <c r="W5" s="23" t="n">
        <v>72013997.73999999</v>
      </c>
      <c r="X5" s="23" t="n">
        <v>236</v>
      </c>
      <c r="Y5" s="23" t="n">
        <v>6915</v>
      </c>
    </row>
    <row r="6" ht="57.75" customHeight="1" thickBot="1">
      <c r="A6" s="5" t="inlineStr">
        <is>
          <t>Total Collection</t>
        </is>
      </c>
      <c r="C6" s="10">
        <f>VALUE(W3)</f>
        <v/>
      </c>
      <c r="E6" s="2" t="n"/>
      <c r="F6" s="17" t="inlineStr">
        <is>
          <t>Baideshik</t>
        </is>
      </c>
      <c r="G6" s="17" t="inlineStr">
        <is>
          <t>Anaupcharik</t>
        </is>
      </c>
      <c r="H6" s="18" t="inlineStr">
        <is>
          <t>Swarojgar</t>
        </is>
      </c>
      <c r="I6" s="6" t="n"/>
      <c r="K6" s="23" t="inlineStr">
        <is>
          <t>CONTRIBUTOR_VERIFIED</t>
        </is>
      </c>
      <c r="L6" s="23" t="n">
        <v>0</v>
      </c>
      <c r="M6" s="23" t="n">
        <v>57490</v>
      </c>
      <c r="N6" s="23" t="n">
        <v>22391</v>
      </c>
      <c r="O6" s="23" t="n">
        <v>279881</v>
      </c>
      <c r="P6" s="23" t="n">
        <v>19920</v>
      </c>
      <c r="Q6" s="23" t="n">
        <v>20370</v>
      </c>
      <c r="R6" s="23" t="n">
        <v>2564</v>
      </c>
      <c r="S6" s="23" t="n">
        <v>3205</v>
      </c>
      <c r="T6" s="23" t="n">
        <v>405821</v>
      </c>
      <c r="V6" s="24" t="inlineStr">
        <is>
          <t>Medical Treatment, Health and Maternity Protection Scheme</t>
        </is>
      </c>
      <c r="W6" s="24" t="n">
        <v>3164225030.35</v>
      </c>
      <c r="X6" s="24" t="n">
        <v>0</v>
      </c>
      <c r="Y6" s="24" t="n">
        <v>0</v>
      </c>
    </row>
    <row r="7" ht="21.95" customHeight="1" thickBot="1">
      <c r="B7">
        <f>ROUNDDOWN(C6/1000000000,0)</f>
        <v/>
      </c>
      <c r="C7" t="inlineStr">
        <is>
          <t>अर्ब</t>
        </is>
      </c>
      <c r="E7" s="5" t="n"/>
      <c r="F7">
        <f>SUM(L10:S10)+SUM(L11:S11)+SUM(L12:S12)</f>
        <v/>
      </c>
      <c r="G7">
        <f>SUM(L13:S13)</f>
        <v/>
      </c>
      <c r="H7" s="6">
        <f>SUM(L14:S14)</f>
        <v/>
      </c>
      <c r="K7" s="24" t="inlineStr">
        <is>
          <t>CONTRIBUTOR_SAVED</t>
        </is>
      </c>
      <c r="L7" s="24" t="n">
        <v>0</v>
      </c>
      <c r="M7" s="24" t="n">
        <v>1105</v>
      </c>
      <c r="N7" s="24" t="n">
        <v>1074</v>
      </c>
      <c r="O7" s="24" t="n">
        <v>17239</v>
      </c>
      <c r="P7" s="24" t="n">
        <v>0</v>
      </c>
      <c r="Q7" s="24" t="n">
        <v>0</v>
      </c>
      <c r="R7" s="24" t="n">
        <v>0</v>
      </c>
      <c r="S7" s="24" t="n">
        <v>0</v>
      </c>
      <c r="T7" s="24" t="n">
        <v>19418</v>
      </c>
      <c r="V7" s="23" t="inlineStr">
        <is>
          <t>Accident and Disability Protection Scheme</t>
        </is>
      </c>
      <c r="W7" s="23" t="n">
        <v>3688981732.96</v>
      </c>
      <c r="X7" s="23" t="n">
        <v>0</v>
      </c>
      <c r="Y7" s="23" t="n">
        <v>0</v>
      </c>
    </row>
    <row r="8" ht="24.6" customHeight="1" thickBot="1">
      <c r="B8">
        <f>ROUNDDOWN((C6-B7*1000000000)/10000000,0)</f>
        <v/>
      </c>
      <c r="C8" t="inlineStr">
        <is>
          <t>करोड</t>
        </is>
      </c>
      <c r="E8" s="5" t="n"/>
      <c r="F8">
        <f>T10+T11+T12</f>
        <v/>
      </c>
      <c r="G8">
        <f>T13</f>
        <v/>
      </c>
      <c r="H8" s="6">
        <f>T14</f>
        <v/>
      </c>
      <c r="K8" s="23" t="inlineStr">
        <is>
          <t>CONTRIBUTOR_SUBMITTED</t>
        </is>
      </c>
      <c r="L8" s="23" t="n">
        <v>0</v>
      </c>
      <c r="M8" s="23" t="n">
        <v>0</v>
      </c>
      <c r="N8" s="23" t="n">
        <v>0</v>
      </c>
      <c r="O8" s="23" t="n">
        <v>0</v>
      </c>
      <c r="P8" s="23" t="n">
        <v>0</v>
      </c>
      <c r="Q8" s="23" t="n">
        <v>0</v>
      </c>
      <c r="R8" s="23" t="n">
        <v>0</v>
      </c>
      <c r="S8" s="23" t="n">
        <v>0</v>
      </c>
      <c r="T8" s="23" t="n">
        <v>0</v>
      </c>
      <c r="V8" s="24" t="inlineStr">
        <is>
          <t>Dependent Family  Protection Scheme</t>
        </is>
      </c>
      <c r="W8" s="24" t="n">
        <v>1145658269.98</v>
      </c>
      <c r="X8" s="24" t="n">
        <v>0</v>
      </c>
      <c r="Y8" s="24" t="n">
        <v>0</v>
      </c>
    </row>
    <row r="9" ht="57.75" customHeight="1" thickBot="1">
      <c r="A9" t="inlineStr">
        <is>
          <t>Sum of Collection Categories</t>
        </is>
      </c>
      <c r="C9">
        <f>SUM(W6:W33)</f>
        <v/>
      </c>
      <c r="E9" s="7" t="inlineStr">
        <is>
          <t>Value&gt;</t>
        </is>
      </c>
      <c r="F9" s="8">
        <f>IF(F7=F8,F8,"Error")</f>
        <v/>
      </c>
      <c r="G9" s="8">
        <f>IF(G7=G8,G8,"Error")</f>
        <v/>
      </c>
      <c r="H9" s="9">
        <f>IF(H7=H8,H8,"Error")</f>
        <v/>
      </c>
      <c r="K9" s="24" t="inlineStr">
        <is>
          <t>CONTRIBUTOR_PENDING</t>
        </is>
      </c>
      <c r="L9" s="24" t="n">
        <v>0</v>
      </c>
      <c r="M9" s="24" t="n">
        <v>21402</v>
      </c>
      <c r="N9" s="24" t="n">
        <v>10583</v>
      </c>
      <c r="O9" s="24" t="n">
        <v>223135</v>
      </c>
      <c r="P9" s="24" t="n">
        <v>11056</v>
      </c>
      <c r="Q9" s="24" t="n">
        <v>8796</v>
      </c>
      <c r="R9" s="24" t="n">
        <v>921</v>
      </c>
      <c r="S9" s="24" t="n">
        <v>1518</v>
      </c>
      <c r="T9" s="24" t="n">
        <v>277411</v>
      </c>
      <c r="V9" s="23" t="inlineStr">
        <is>
          <t>Old Age Protection Scheme</t>
        </is>
      </c>
      <c r="W9" s="23" t="n">
        <v>59721406850.78</v>
      </c>
      <c r="X9" s="23" t="n">
        <v>0</v>
      </c>
      <c r="Y9" s="23" t="n">
        <v>0</v>
      </c>
    </row>
    <row r="10" ht="39" customHeight="1" thickBot="1">
      <c r="A10" t="inlineStr">
        <is>
          <t>Total Claim</t>
        </is>
      </c>
      <c r="C10">
        <f>SUM(N55:O58)</f>
        <v/>
      </c>
      <c r="K10" s="23" t="inlineStr">
        <is>
          <t>CONTRIBUTOR_Migrant W. Dofe</t>
        </is>
      </c>
      <c r="L10" s="23" t="n">
        <v>2116371</v>
      </c>
      <c r="M10" s="23" t="n">
        <v>32025</v>
      </c>
      <c r="N10" s="23" t="n">
        <v>41395</v>
      </c>
      <c r="O10" s="23" t="n">
        <v>13097</v>
      </c>
      <c r="P10" s="23" t="n">
        <v>14161</v>
      </c>
      <c r="Q10" s="23" t="n">
        <v>20834</v>
      </c>
      <c r="R10" s="23" t="n">
        <v>2930</v>
      </c>
      <c r="S10" s="23" t="n">
        <v>3708</v>
      </c>
      <c r="T10" s="23" t="n">
        <v>2244521</v>
      </c>
      <c r="V10" s="24" t="inlineStr">
        <is>
          <t>General Gratuity Fund</t>
        </is>
      </c>
      <c r="W10" s="24" t="n">
        <v>24704740459.93</v>
      </c>
      <c r="X10" s="24" t="n">
        <v>0</v>
      </c>
      <c r="Y10" s="24" t="n">
        <v>0</v>
      </c>
    </row>
    <row r="11" ht="20.1" customHeight="1" thickBot="1">
      <c r="B11">
        <f>ROUNDDOWN(C10/1000000000,0)</f>
        <v/>
      </c>
      <c r="C11" t="inlineStr">
        <is>
          <t>अर्ब</t>
        </is>
      </c>
      <c r="K11" s="24" t="inlineStr">
        <is>
          <t>CONTRIBUTOR_Migrant W.</t>
        </is>
      </c>
      <c r="L11" s="24" t="n">
        <v>54</v>
      </c>
      <c r="M11" s="24" t="n">
        <v>994</v>
      </c>
      <c r="N11" s="24" t="n">
        <v>378</v>
      </c>
      <c r="O11" s="24" t="n">
        <v>956</v>
      </c>
      <c r="P11" s="24" t="n">
        <v>733</v>
      </c>
      <c r="Q11" s="24" t="n">
        <v>634</v>
      </c>
      <c r="R11" s="24" t="n">
        <v>59</v>
      </c>
      <c r="S11" s="24" t="n">
        <v>163</v>
      </c>
      <c r="T11" s="24" t="n">
        <v>3971</v>
      </c>
      <c r="V11" s="23" t="inlineStr">
        <is>
          <t>Special Privilege Gratuity Surplus Fund</t>
        </is>
      </c>
      <c r="W11" s="23" t="n">
        <v>45884950.41</v>
      </c>
      <c r="X11" s="23" t="n">
        <v>0</v>
      </c>
      <c r="Y11" s="23" t="n">
        <v>0</v>
      </c>
      <c r="AA11">
        <f>W11+W12+W13+W14+W18+W19+W20</f>
        <v/>
      </c>
    </row>
    <row r="12" ht="24.6" customHeight="1" thickBot="1">
      <c r="B12">
        <f>ROUNDDOWN((C10-B11*1000000000)/10000000,0)</f>
        <v/>
      </c>
      <c r="C12" t="inlineStr">
        <is>
          <t>करोड</t>
        </is>
      </c>
      <c r="K12" s="23" t="inlineStr">
        <is>
          <t>CONTRIBUTOR_Migrant S/W.</t>
        </is>
      </c>
      <c r="L12" s="23" t="n">
        <v>2</v>
      </c>
      <c r="M12" s="23" t="n">
        <v>12</v>
      </c>
      <c r="N12" s="23" t="n">
        <v>10</v>
      </c>
      <c r="O12" s="23" t="n">
        <v>16</v>
      </c>
      <c r="P12" s="23" t="n">
        <v>8</v>
      </c>
      <c r="Q12" s="23" t="n">
        <v>8</v>
      </c>
      <c r="R12" s="23" t="n">
        <v>3</v>
      </c>
      <c r="S12" s="23" t="n">
        <v>0</v>
      </c>
      <c r="T12" s="23" t="n">
        <v>59</v>
      </c>
      <c r="V12" s="24" t="inlineStr">
        <is>
          <t>Addition Contribution Fund(GAP 28.33-33%)</t>
        </is>
      </c>
      <c r="W12" s="24" t="n">
        <v>1422174938.02</v>
      </c>
      <c r="X12" s="24" t="n">
        <v>0</v>
      </c>
      <c r="Y12" s="24" t="n">
        <v>0</v>
      </c>
    </row>
    <row r="13" ht="21.95" customHeight="1" thickBot="1">
      <c r="K13" s="24" t="inlineStr">
        <is>
          <t>CONTRIBUTOR_Informal W.</t>
        </is>
      </c>
      <c r="L13" s="24" t="n">
        <v>3</v>
      </c>
      <c r="M13" s="24" t="n">
        <v>55</v>
      </c>
      <c r="N13" s="24" t="n">
        <v>13</v>
      </c>
      <c r="O13" s="24" t="n">
        <v>487</v>
      </c>
      <c r="P13" s="24" t="n">
        <v>188</v>
      </c>
      <c r="Q13" s="24" t="n">
        <v>236</v>
      </c>
      <c r="R13" s="24" t="n">
        <v>7</v>
      </c>
      <c r="S13" s="24" t="n">
        <v>5</v>
      </c>
      <c r="T13" s="24" t="n">
        <v>994</v>
      </c>
      <c r="V13" s="23" t="inlineStr">
        <is>
          <t>Transfer from different Pension Fund</t>
        </is>
      </c>
      <c r="W13" s="23" t="n">
        <v>1386649084.01</v>
      </c>
      <c r="X13" s="23" t="n">
        <v>0</v>
      </c>
      <c r="Y13" s="23" t="n">
        <v>0</v>
      </c>
    </row>
    <row r="14" ht="24" customHeight="1" thickBot="1">
      <c r="F14" t="inlineStr">
        <is>
          <t>1% Addition</t>
        </is>
      </c>
      <c r="G14" s="60" t="n">
        <v>0</v>
      </c>
      <c r="K14" s="23" t="inlineStr">
        <is>
          <t>CONTRIBUTOR_Informal S/W.</t>
        </is>
      </c>
      <c r="L14" s="23" t="n">
        <v>1</v>
      </c>
      <c r="M14" s="23" t="n">
        <v>172</v>
      </c>
      <c r="N14" s="23" t="n">
        <v>110</v>
      </c>
      <c r="O14" s="23" t="n">
        <v>373</v>
      </c>
      <c r="P14" s="23" t="n">
        <v>131</v>
      </c>
      <c r="Q14" s="23" t="n">
        <v>145</v>
      </c>
      <c r="R14" s="23" t="n">
        <v>29</v>
      </c>
      <c r="S14" s="23" t="n">
        <v>51</v>
      </c>
      <c r="T14" s="23" t="n">
        <v>1012</v>
      </c>
      <c r="V14" s="24" t="inlineStr">
        <is>
          <t>Retirement Return Fund</t>
        </is>
      </c>
      <c r="W14" s="24" t="n">
        <v>2758298143.88</v>
      </c>
      <c r="X14" s="24" t="n">
        <v>0</v>
      </c>
      <c r="Y14" s="24" t="n">
        <v>0</v>
      </c>
    </row>
    <row r="15" ht="21" customHeight="1" thickBot="1">
      <c r="K15" s="22" t="inlineStr">
        <is>
          <t>CONTRIBUTOR_TOTAL</t>
        </is>
      </c>
      <c r="L15" s="22" t="n">
        <v>2116431</v>
      </c>
      <c r="M15" s="22" t="n">
        <v>113255</v>
      </c>
      <c r="N15" s="22" t="n">
        <v>75954</v>
      </c>
      <c r="O15" s="22" t="n">
        <v>535184</v>
      </c>
      <c r="P15" s="22" t="n">
        <v>46197</v>
      </c>
      <c r="Q15" s="22" t="n">
        <v>51023</v>
      </c>
      <c r="R15" s="22" t="n">
        <v>6513</v>
      </c>
      <c r="S15" s="22" t="n">
        <v>8650</v>
      </c>
      <c r="T15" s="22" t="n">
        <v>2953207</v>
      </c>
      <c r="V15" s="23" t="inlineStr">
        <is>
          <t>Medical,Accident, and Dependent for Migrant Contributor</t>
        </is>
      </c>
      <c r="W15" s="23" t="n">
        <v>2081255840.3</v>
      </c>
      <c r="X15" s="23" t="n">
        <v>0</v>
      </c>
      <c r="Y15" s="23" t="n">
        <v>0</v>
      </c>
      <c r="Z15" t="inlineStr">
        <is>
          <t>m</t>
        </is>
      </c>
      <c r="AA15" t="n">
        <v>1229835457.15</v>
      </c>
    </row>
    <row r="16" ht="29.25" customHeight="1" thickBot="1">
      <c r="V16" s="24" t="inlineStr">
        <is>
          <t>Old Age Protection Fund for Migrant Contributor</t>
        </is>
      </c>
      <c r="W16" s="24" t="n">
        <v>3872368276.67</v>
      </c>
      <c r="X16" s="24" t="n">
        <v>0</v>
      </c>
      <c r="Y16" s="24" t="n">
        <v>0</v>
      </c>
      <c r="Z16" t="inlineStr">
        <is>
          <t>m</t>
        </is>
      </c>
      <c r="AA16" t="n">
        <v>2301927616.36</v>
      </c>
    </row>
    <row r="17" ht="15" customHeight="1" thickBot="1">
      <c r="V17" s="23" t="inlineStr">
        <is>
          <t>General Gratuity Fund for Migrant Contributor</t>
        </is>
      </c>
      <c r="W17" s="23" t="n">
        <v>63391009.87</v>
      </c>
      <c r="X17" s="23" t="n">
        <v>0</v>
      </c>
      <c r="Y17" s="23" t="n">
        <v>0</v>
      </c>
      <c r="Z17" t="inlineStr">
        <is>
          <t>m</t>
        </is>
      </c>
      <c r="AA17" t="n">
        <v>2175229205.28</v>
      </c>
    </row>
    <row r="18" ht="25.5" customHeight="1" thickBot="1">
      <c r="A18" t="inlineStr">
        <is>
          <t>प्रदेश</t>
        </is>
      </c>
      <c r="V18" s="24" t="inlineStr">
        <is>
          <t>Medical, Accident and Dependent for Informal Contributor</t>
        </is>
      </c>
      <c r="W18" s="24" t="n">
        <v>11985442.35</v>
      </c>
      <c r="X18" s="24" t="n">
        <v>0</v>
      </c>
      <c r="Y18" s="24" t="n">
        <v>0</v>
      </c>
      <c r="Z18" t="inlineStr">
        <is>
          <t>i</t>
        </is>
      </c>
      <c r="AA18" t="n">
        <v>35429159175.85001</v>
      </c>
    </row>
    <row r="19" ht="23.1" customHeight="1" thickBot="1">
      <c r="A19" t="inlineStr">
        <is>
          <t>रोजगारदाता</t>
        </is>
      </c>
      <c r="V19" s="23" t="inlineStr">
        <is>
          <t>Old Age Protection Fund for Informal Contributor</t>
        </is>
      </c>
      <c r="W19" s="23" t="n">
        <v>11612168.48</v>
      </c>
      <c r="X19" s="23" t="n">
        <v>0</v>
      </c>
      <c r="Y19" s="23" t="n">
        <v>0</v>
      </c>
      <c r="Z19" t="inlineStr">
        <is>
          <t>i</t>
        </is>
      </c>
      <c r="AA19" t="n">
        <v>1502511466</v>
      </c>
    </row>
    <row r="20" ht="21" customHeight="1" thickBot="1">
      <c r="V20" s="24" t="inlineStr">
        <is>
          <t>General Gratuity Fund for Informal Contributor</t>
        </is>
      </c>
      <c r="W20" s="24" t="n">
        <v>398705.94</v>
      </c>
      <c r="X20" s="24" t="n">
        <v>0</v>
      </c>
      <c r="Y20" s="24" t="n">
        <v>0</v>
      </c>
      <c r="Z20" t="inlineStr">
        <is>
          <t>s</t>
        </is>
      </c>
      <c r="AA20" t="n">
        <v>3120303.96</v>
      </c>
    </row>
    <row r="21" ht="21" customHeight="1" thickBot="1">
      <c r="V21" s="23" t="inlineStr">
        <is>
          <t>Medical Scheme for Self Employed Contributor</t>
        </is>
      </c>
      <c r="W21" s="23" t="n">
        <v>1741084.35</v>
      </c>
      <c r="X21" s="23" t="n">
        <v>0</v>
      </c>
      <c r="Y21" s="23" t="n">
        <v>0</v>
      </c>
      <c r="Z21" t="inlineStr">
        <is>
          <t>s</t>
        </is>
      </c>
      <c r="AA21" t="n">
        <v>9063.85</v>
      </c>
    </row>
    <row r="22" ht="21.95" customHeight="1" thickBot="1">
      <c r="V22" s="24" t="inlineStr">
        <is>
          <t>Accident and Disability Protection Scheme for Self Employed Contributor</t>
        </is>
      </c>
      <c r="W22" s="24" t="n">
        <v>667454.22</v>
      </c>
      <c r="X22" s="24" t="n">
        <v>0</v>
      </c>
      <c r="Y22" s="24" t="n">
        <v>0</v>
      </c>
      <c r="Z22" t="inlineStr">
        <is>
          <t>s</t>
        </is>
      </c>
    </row>
    <row r="23" ht="14.45" customHeight="1" thickBot="1">
      <c r="V23" s="23" t="inlineStr">
        <is>
          <t>Dependent Family  Protection Scheme for Self Employed Contributor</t>
        </is>
      </c>
      <c r="W23" s="23" t="n">
        <v>1269424.7</v>
      </c>
      <c r="X23" s="23" t="n">
        <v>0</v>
      </c>
      <c r="Y23" s="23" t="n">
        <v>0</v>
      </c>
      <c r="Z23" t="inlineStr">
        <is>
          <t>s</t>
        </is>
      </c>
    </row>
    <row r="24" ht="14.45" customHeight="1" thickBot="1">
      <c r="V24" s="24" t="inlineStr">
        <is>
          <t>Pension Fund for Self Employed Contributor</t>
        </is>
      </c>
      <c r="W24" s="24" t="n">
        <v>15663763.42</v>
      </c>
      <c r="X24" s="24" t="n">
        <v>0</v>
      </c>
      <c r="Y24" s="24" t="n">
        <v>0</v>
      </c>
      <c r="Z24" t="inlineStr">
        <is>
          <t>s</t>
        </is>
      </c>
    </row>
    <row r="25" ht="14.45" customHeight="1" thickBot="1">
      <c r="V25" s="23" t="inlineStr">
        <is>
          <t>Extra Gratuity Fund for Self Employed Contributor</t>
        </is>
      </c>
      <c r="W25" s="23" t="n">
        <v>2249227.18</v>
      </c>
      <c r="X25" s="23" t="n">
        <v>0</v>
      </c>
      <c r="Y25" s="23" t="n">
        <v>0</v>
      </c>
    </row>
    <row r="26" ht="14.45" customHeight="1" thickBot="1">
      <c r="V26" s="24" t="inlineStr">
        <is>
          <t>Gratuity Fund for Self Employed Contributor</t>
        </is>
      </c>
      <c r="W26" s="24" t="n">
        <v>4917624.2</v>
      </c>
      <c r="X26" s="24" t="n">
        <v>0</v>
      </c>
      <c r="Y26" s="24" t="n">
        <v>0</v>
      </c>
    </row>
    <row r="27" ht="14.45" customHeight="1" thickBot="1">
      <c r="V27" s="23" t="inlineStr">
        <is>
          <t>Pension Return Fund</t>
        </is>
      </c>
      <c r="W27" s="23" t="n">
        <v>5908765551.07</v>
      </c>
      <c r="X27" s="23" t="n">
        <v>0</v>
      </c>
      <c r="Y27" s="23" t="n">
        <v>0</v>
      </c>
      <c r="Z27" t="n">
        <v>26</v>
      </c>
    </row>
    <row r="28" ht="14.45" customHeight="1" thickBot="1">
      <c r="V28" s="24" t="inlineStr">
        <is>
          <t>Pension Interest for Migrant Contributor</t>
        </is>
      </c>
      <c r="W28" s="24" t="n">
        <v>174475837.27</v>
      </c>
      <c r="X28" s="24" t="n">
        <v>0</v>
      </c>
      <c r="Y28" s="24" t="n">
        <v>0</v>
      </c>
    </row>
    <row r="29" ht="14.45" customHeight="1" thickBot="1">
      <c r="V29" s="23" t="inlineStr">
        <is>
          <t>Gratuity Interest for Migrant Contributor</t>
        </is>
      </c>
      <c r="W29" s="23" t="n">
        <v>1314061.06</v>
      </c>
      <c r="X29" s="23" t="n">
        <v>0</v>
      </c>
      <c r="Y29" s="23" t="n">
        <v>0</v>
      </c>
    </row>
    <row r="30" ht="14.45" customHeight="1" thickBot="1">
      <c r="V30" s="24" t="inlineStr">
        <is>
          <t>Pension Interest For Informal Contributor</t>
        </is>
      </c>
      <c r="W30" s="24" t="n">
        <v>153692.83</v>
      </c>
      <c r="X30" s="24" t="n">
        <v>0</v>
      </c>
      <c r="Y30" s="24" t="n">
        <v>0</v>
      </c>
    </row>
    <row r="31" ht="14.45" customHeight="1" thickBot="1">
      <c r="V31" s="23" t="inlineStr">
        <is>
          <t>Gratuity Interest For Informal Contributor</t>
        </is>
      </c>
      <c r="W31" s="23" t="n">
        <v>3794.3</v>
      </c>
      <c r="X31" s="23" t="n">
        <v>0</v>
      </c>
      <c r="Y31" s="23" t="n">
        <v>0</v>
      </c>
    </row>
    <row r="32" ht="14.45" customHeight="1" thickBot="1">
      <c r="V32" s="24" t="inlineStr">
        <is>
          <t>Pension Interest for Self Employed Contributor</t>
        </is>
      </c>
      <c r="W32" s="24" t="n">
        <v>217273.39</v>
      </c>
      <c r="X32" s="24" t="n">
        <v>0</v>
      </c>
      <c r="Y32" s="24" t="n">
        <v>0</v>
      </c>
    </row>
    <row r="33" ht="14.45" customHeight="1" thickBot="1">
      <c r="V33" s="23" t="inlineStr">
        <is>
          <t>Gratuity Interest for Self Employed Contributor</t>
        </is>
      </c>
      <c r="W33" s="23" t="n">
        <v>18907.31</v>
      </c>
      <c r="X33" s="23" t="n">
        <v>0</v>
      </c>
      <c r="Y33" s="23" t="n">
        <v>0</v>
      </c>
    </row>
    <row r="34" ht="14.45" customHeight="1">
      <c r="V34" s="21" t="inlineStr">
        <is>
          <t>Discount Return for Migrant Contributor</t>
        </is>
      </c>
      <c r="W34" s="21" t="n">
        <v>326737.33</v>
      </c>
      <c r="X34" s="21" t="n">
        <v>0</v>
      </c>
      <c r="Y34" s="21" t="n">
        <v>0</v>
      </c>
      <c r="AA34" t="inlineStr">
        <is>
          <t xml:space="preserve">  </t>
        </is>
      </c>
    </row>
    <row r="35" ht="14.45" customHeight="1">
      <c r="V35" s="21" t="inlineStr">
        <is>
          <t>Discount Return for Informal Contributor</t>
        </is>
      </c>
      <c r="W35" s="21" t="n">
        <v>4187.6</v>
      </c>
      <c r="X35" s="21" t="n">
        <v>0</v>
      </c>
      <c r="Y35" s="21" t="n">
        <v>0</v>
      </c>
    </row>
    <row r="36" ht="15.75" customHeight="1" thickBot="1">
      <c r="A36" t="inlineStr">
        <is>
          <t>योगदानकर्ता</t>
        </is>
      </c>
    </row>
    <row r="37" ht="30.75" customHeight="1" thickBot="1">
      <c r="V37" s="25" t="inlineStr">
        <is>
          <t>Scheme</t>
        </is>
      </c>
      <c r="W37" s="25" t="inlineStr">
        <is>
          <t>No. of Contributors</t>
        </is>
      </c>
      <c r="X37" s="25" t="inlineStr">
        <is>
          <t>Claim Count</t>
        </is>
      </c>
      <c r="Y37" s="25" t="inlineStr">
        <is>
          <t>Total Claimed Amount</t>
        </is>
      </c>
      <c r="Z37" s="25" t="inlineStr">
        <is>
          <t>Collection Amount</t>
        </is>
      </c>
      <c r="AA37" s="25" t="inlineStr">
        <is>
          <t>Balance</t>
        </is>
      </c>
    </row>
    <row r="38" ht="16.5" customHeight="1" thickBot="1" thickTop="1">
      <c r="V38" s="24" t="inlineStr">
        <is>
          <t>Medical</t>
        </is>
      </c>
      <c r="W38" s="24" t="n">
        <v>145845</v>
      </c>
      <c r="X38" s="24" t="n">
        <v>963194</v>
      </c>
      <c r="Y38" s="24" t="n">
        <v>3201812633.09</v>
      </c>
      <c r="Z38" s="24" t="n">
        <v>3164225030.35</v>
      </c>
      <c r="AA38" s="24" t="n">
        <v>-37587602.74</v>
      </c>
    </row>
    <row r="39" ht="15.75" customHeight="1" thickBot="1">
      <c r="V39" s="23" t="inlineStr">
        <is>
          <t>Accident</t>
        </is>
      </c>
      <c r="W39" s="23" t="n">
        <v>8115</v>
      </c>
      <c r="X39" s="23" t="n">
        <v>15440</v>
      </c>
      <c r="Y39" s="23" t="n">
        <v>282885740.7</v>
      </c>
      <c r="Z39" s="23" t="n">
        <v>3688981732.96</v>
      </c>
      <c r="AA39" s="23" t="n">
        <v>3406095992.26</v>
      </c>
    </row>
    <row r="40" ht="12" customHeight="1" thickBot="1"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V40" s="24" t="inlineStr">
        <is>
          <t>Dependent</t>
        </is>
      </c>
      <c r="W40" s="24" t="n">
        <v>874</v>
      </c>
      <c r="X40" s="24" t="n">
        <v>37986</v>
      </c>
      <c r="Y40" s="24" t="n">
        <v>346585304.89</v>
      </c>
      <c r="Z40" s="24" t="n">
        <v>1145658269.98</v>
      </c>
      <c r="AA40" s="24" t="n">
        <v>799072965.09</v>
      </c>
    </row>
    <row r="41" ht="12" customHeight="1" thickBot="1">
      <c r="B41" s="11" t="n"/>
      <c r="C41" s="155" t="inlineStr">
        <is>
          <t>सामाजिक सुरक्षा कोषमा हालसम्म आवद्ध
संस्था, योगदानकर्ता तथा दावी भुक्तानीको विवरण</t>
        </is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4" t="n"/>
      <c r="P41" s="11" t="n"/>
      <c r="V41" s="23" t="inlineStr">
        <is>
          <t>Old Age</t>
        </is>
      </c>
      <c r="W41" s="23" t="n">
        <v>134547</v>
      </c>
      <c r="X41" s="23" t="n">
        <v>145406</v>
      </c>
      <c r="Y41" s="23" t="n">
        <v>16465331447.55</v>
      </c>
      <c r="Z41" s="23" t="n">
        <v>95947919978.10001</v>
      </c>
      <c r="AA41" s="23" t="n">
        <v>79482588530.55</v>
      </c>
    </row>
    <row r="42" ht="12" customHeight="1" thickBot="1">
      <c r="B42" s="11" t="n"/>
      <c r="C42" s="5" t="n"/>
      <c r="O42" s="6" t="n"/>
      <c r="P42" s="11" t="n"/>
      <c r="V42" s="24" t="inlineStr">
        <is>
          <t>Medical,Accident, and Dependent for Migrant Contributor</t>
        </is>
      </c>
      <c r="W42" s="24" t="n">
        <v>1959</v>
      </c>
      <c r="X42" s="24" t="n">
        <v>9282</v>
      </c>
      <c r="Y42" s="24" t="n">
        <v>28264404.58</v>
      </c>
      <c r="Z42" s="24" t="n">
        <v>0</v>
      </c>
      <c r="AA42" s="24" t="n">
        <v>-28264404.58</v>
      </c>
    </row>
    <row r="43" ht="16.5" customHeight="1" thickBot="1">
      <c r="B43" s="11" t="n"/>
      <c r="C43" s="5" t="n"/>
      <c r="O43" s="6" t="n"/>
      <c r="P43" s="11" t="n"/>
      <c r="V43" s="23" t="inlineStr">
        <is>
          <t>Old Age Protection Fund for Migrant Contributor</t>
        </is>
      </c>
      <c r="W43" s="23" t="n">
        <v>126</v>
      </c>
      <c r="X43" s="23" t="n">
        <v>126</v>
      </c>
      <c r="Y43" s="23" t="n">
        <v>262000.6</v>
      </c>
      <c r="Z43" s="23" t="n">
        <v>0</v>
      </c>
      <c r="AA43" s="23" t="n">
        <v>-262000.6</v>
      </c>
    </row>
    <row r="44" hidden="1" ht="5.25" customHeight="1" thickBot="1">
      <c r="B44" s="11" t="n"/>
      <c r="C44" s="5" t="n"/>
      <c r="O44" s="6" t="n"/>
      <c r="P44" s="11" t="n"/>
      <c r="V44" s="24" t="inlineStr">
        <is>
          <t>Medical, Accident and Dependent for Informal Contributor</t>
        </is>
      </c>
      <c r="W44" s="24" t="n">
        <v>186</v>
      </c>
      <c r="X44" s="24" t="n">
        <v>677</v>
      </c>
      <c r="Y44" s="24" t="n">
        <v>2409923.84</v>
      </c>
      <c r="Z44" s="24" t="n">
        <v>0</v>
      </c>
      <c r="AA44" s="24" t="n">
        <v>-2409923.84</v>
      </c>
    </row>
    <row r="45" ht="9" customHeight="1" thickBot="1">
      <c r="B45" s="11" t="n"/>
      <c r="C45" s="5" t="n"/>
      <c r="O45" s="6" t="n"/>
      <c r="P45" s="11" t="n"/>
      <c r="V45" s="23" t="inlineStr">
        <is>
          <t>Medical Scheme for Self Employed Contributor</t>
        </is>
      </c>
      <c r="W45" s="23" t="n">
        <v>168</v>
      </c>
      <c r="X45" s="23" t="n">
        <v>874</v>
      </c>
      <c r="Y45" s="23" t="n">
        <v>2819698.32</v>
      </c>
      <c r="Z45" s="23" t="n">
        <v>0</v>
      </c>
      <c r="AA45" s="23" t="n">
        <v>-2819698.32</v>
      </c>
    </row>
    <row r="46" ht="6" customHeight="1" thickBot="1">
      <c r="B46" s="11" t="n"/>
      <c r="C46" s="156" t="inlineStr">
        <is>
          <t xml:space="preserve">वि.सं.२०८३ वैशाख ०९ गते 
ने.सं.११४६ बछलाथ्व पञ्चमी बुधवार          </t>
        </is>
      </c>
      <c r="O46" s="6" t="n"/>
      <c r="P46" s="11" t="n"/>
      <c r="V46" s="24" t="inlineStr">
        <is>
          <t>Accident and Disability Protection Scheme for Self Employed Contributor</t>
        </is>
      </c>
      <c r="W46" s="24" t="n">
        <v>3</v>
      </c>
      <c r="X46" s="24" t="n">
        <v>4</v>
      </c>
      <c r="Y46" s="24" t="n">
        <v>74416</v>
      </c>
      <c r="Z46" s="24" t="n">
        <v>0</v>
      </c>
      <c r="AA46" s="24" t="n">
        <v>-74416</v>
      </c>
    </row>
    <row r="47" ht="39" customHeight="1" thickBot="1">
      <c r="B47" s="11" t="n"/>
      <c r="C47" s="7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9" t="n"/>
      <c r="P47" s="11" t="n"/>
      <c r="V47" s="22" t="inlineStr">
        <is>
          <t>Total</t>
        </is>
      </c>
      <c r="W47" s="22" t="n">
        <v>291823</v>
      </c>
      <c r="X47" s="22" t="n">
        <v>1172989</v>
      </c>
      <c r="Y47" s="22" t="n">
        <v>20330445569.57</v>
      </c>
      <c r="Z47" s="22" t="n">
        <v>103946785011.39</v>
      </c>
      <c r="AA47" s="22" t="n">
        <v>83616339441.82001</v>
      </c>
    </row>
    <row r="48" ht="24.75" customHeight="1" thickBot="1">
      <c r="B48" s="11" t="n"/>
      <c r="C48" s="136" t="inlineStr">
        <is>
          <t>प्रदेश</t>
        </is>
      </c>
      <c r="D48" s="157" t="inlineStr">
        <is>
          <t>औपचारिक</t>
        </is>
      </c>
      <c r="E48" s="8" t="n"/>
      <c r="F48" s="8" t="n"/>
      <c r="G48" s="8" t="n"/>
      <c r="H48" s="8" t="n"/>
      <c r="I48" s="8" t="n"/>
      <c r="J48" s="8" t="n"/>
      <c r="K48" s="8" t="n"/>
      <c r="L48" s="158" t="inlineStr">
        <is>
          <t>वैदेशिक</t>
        </is>
      </c>
      <c r="M48" s="158" t="inlineStr">
        <is>
          <t>अनौपचारिक</t>
        </is>
      </c>
      <c r="N48" s="159" t="inlineStr">
        <is>
          <t>स्वरोजगार</t>
        </is>
      </c>
      <c r="O48" s="112" t="inlineStr">
        <is>
          <t>जम्मा</t>
        </is>
      </c>
      <c r="P48" s="11" t="n"/>
    </row>
    <row r="49" ht="24" customHeight="1" thickBot="1">
      <c r="B49" s="11" t="n"/>
      <c r="C49" s="160" t="n"/>
      <c r="D49" s="161" t="inlineStr">
        <is>
          <t>कोशी</t>
        </is>
      </c>
      <c r="E49" s="161" t="inlineStr">
        <is>
          <t xml:space="preserve">मधेश </t>
        </is>
      </c>
      <c r="F49" s="161" t="inlineStr">
        <is>
          <t>बागमती</t>
        </is>
      </c>
      <c r="G49" s="161" t="inlineStr">
        <is>
          <t>गण्डकी</t>
        </is>
      </c>
      <c r="H49" s="161" t="inlineStr">
        <is>
          <t>लुम्बिनी</t>
        </is>
      </c>
      <c r="I49" s="161" t="inlineStr">
        <is>
          <t>कर्णाली</t>
        </is>
      </c>
      <c r="J49" s="53" t="inlineStr">
        <is>
          <t>सुदुर 
पश्चिम</t>
        </is>
      </c>
      <c r="K49" s="38" t="inlineStr">
        <is>
          <t>जम्मा</t>
        </is>
      </c>
      <c r="L49" s="162" t="n"/>
      <c r="M49" s="162" t="n"/>
      <c r="N49" s="7" t="n"/>
      <c r="O49" s="163" t="n"/>
      <c r="P49" s="11" t="n"/>
    </row>
    <row r="50" hidden="1" ht="3.75" customHeight="1">
      <c r="B50" s="11" t="n"/>
      <c r="C50" s="29" t="n"/>
      <c r="D50" s="164" t="n"/>
      <c r="E50" s="164" t="n"/>
      <c r="F50" s="164" t="n"/>
      <c r="G50" s="164" t="n"/>
      <c r="H50" s="164" t="n"/>
      <c r="I50" s="164" t="n"/>
      <c r="J50" s="51" t="n"/>
      <c r="K50" s="39" t="n"/>
      <c r="L50" s="165" t="n"/>
      <c r="M50" s="165" t="n"/>
      <c r="N50" s="166" t="n"/>
      <c r="O50" s="160" t="n"/>
      <c r="P50" s="11" t="n"/>
    </row>
    <row r="51" ht="24.75" customHeight="1" thickBot="1">
      <c r="B51" s="11" t="n"/>
      <c r="C51" s="30" t="inlineStr">
        <is>
          <t>रोजगारदाता</t>
        </is>
      </c>
      <c r="D51" s="113">
        <f>VALUE(B2)</f>
        <v/>
      </c>
      <c r="E51" s="113">
        <f>VALUE(C2)</f>
        <v/>
      </c>
      <c r="F51" s="113">
        <f>VALUE(D2)</f>
        <v/>
      </c>
      <c r="G51" s="113">
        <f>VALUE(E2)</f>
        <v/>
      </c>
      <c r="H51" s="113">
        <f>VALUE(F2)</f>
        <v/>
      </c>
      <c r="I51" s="113">
        <f>VALUE(G2)</f>
        <v/>
      </c>
      <c r="J51" s="113">
        <f>VALUE(H2)</f>
        <v/>
      </c>
      <c r="K51" s="41">
        <f>SUM(D51:J51)</f>
        <v/>
      </c>
      <c r="L51" s="139" t="n"/>
      <c r="M51" s="167" t="n"/>
      <c r="N51" s="167" t="n"/>
      <c r="O51" s="40">
        <f>VALUE(I2)</f>
        <v/>
      </c>
      <c r="P51" s="11" t="n"/>
      <c r="V51" s="13" t="inlineStr">
        <is>
          <t>name</t>
        </is>
      </c>
      <c r="W51" s="13" t="inlineStr">
        <is>
          <t>value</t>
        </is>
      </c>
    </row>
    <row r="52" ht="23.25" customHeight="1" thickBot="1">
      <c r="B52" s="11" t="n"/>
      <c r="C52" s="31" t="inlineStr">
        <is>
          <t>योगदानकर्ता</t>
        </is>
      </c>
      <c r="D52" s="114">
        <f>VALUE(B3)</f>
        <v/>
      </c>
      <c r="E52" s="114">
        <f>VALUE(C3)</f>
        <v/>
      </c>
      <c r="F52" s="114">
        <f>VALUE(D3)</f>
        <v/>
      </c>
      <c r="G52" s="114">
        <f>VALUE(E3)</f>
        <v/>
      </c>
      <c r="H52" s="114">
        <f>VALUE(F3)</f>
        <v/>
      </c>
      <c r="I52" s="114">
        <f>VALUE(G3)</f>
        <v/>
      </c>
      <c r="J52" s="114">
        <f>VALUE(H3)</f>
        <v/>
      </c>
      <c r="K52" s="41">
        <f>SUM(D52:J52)</f>
        <v/>
      </c>
      <c r="L52" s="40">
        <f>VALUE(F9)</f>
        <v/>
      </c>
      <c r="M52" s="40">
        <f>VALUE(G9)</f>
        <v/>
      </c>
      <c r="N52" s="40">
        <f>VALUE(H9)</f>
        <v/>
      </c>
      <c r="O52" s="40">
        <f>VALUE(I3)</f>
        <v/>
      </c>
      <c r="P52" s="11" t="n"/>
      <c r="V52" s="13" t="inlineStr">
        <is>
          <t>employers</t>
        </is>
      </c>
      <c r="W52" s="168">
        <f>O51</f>
        <v/>
      </c>
    </row>
    <row r="53" ht="24.75" customFormat="1" customHeight="1" s="1" thickBot="1">
      <c r="B53" s="12" t="n"/>
      <c r="C53" s="169" t="inlineStr">
        <is>
          <t>योजना</t>
        </is>
      </c>
      <c r="D53" s="3" t="n"/>
      <c r="E53" s="3" t="n"/>
      <c r="F53" s="170" t="inlineStr">
        <is>
          <t>योगदान रकम संकलन</t>
        </is>
      </c>
      <c r="G53" s="171" t="n"/>
      <c r="H53" s="171" t="n"/>
      <c r="I53" s="171" t="n"/>
      <c r="J53" s="171" t="n"/>
      <c r="K53" s="172" t="n"/>
      <c r="L53" s="173" t="inlineStr">
        <is>
          <t>दावी भुक्तानी</t>
        </is>
      </c>
      <c r="M53" s="171" t="n"/>
      <c r="N53" s="171" t="n"/>
      <c r="O53" s="172" t="n"/>
      <c r="P53" s="12" t="n"/>
      <c r="V53" s="14" t="inlineStr">
        <is>
          <t>contributors</t>
        </is>
      </c>
      <c r="W53" s="168">
        <f>O52</f>
        <v/>
      </c>
    </row>
    <row r="54" ht="48" customFormat="1" customHeight="1" s="1" thickBot="1">
      <c r="B54" s="12" t="n"/>
      <c r="C54" s="7" t="n"/>
      <c r="D54" s="8" t="n"/>
      <c r="E54" s="8" t="n"/>
      <c r="F54" s="42" t="inlineStr">
        <is>
          <t>औपचारिक</t>
        </is>
      </c>
      <c r="G54" s="42" t="inlineStr">
        <is>
          <t>वैदेशिक</t>
        </is>
      </c>
      <c r="H54" s="42" t="inlineStr">
        <is>
          <t>अनौपचारिक</t>
        </is>
      </c>
      <c r="I54" s="143" t="inlineStr">
        <is>
          <t>स्वरोजगार</t>
        </is>
      </c>
      <c r="J54" s="42" t="inlineStr">
        <is>
          <t>जम्मा</t>
        </is>
      </c>
      <c r="K54" s="172" t="n"/>
      <c r="L54" s="35" t="inlineStr">
        <is>
          <t>दाबी गर्नेको 
संख्या</t>
        </is>
      </c>
      <c r="M54" s="35" t="inlineStr">
        <is>
          <t>दावी भुक्तानी संख्या (पटक)</t>
        </is>
      </c>
      <c r="N54" s="115" t="inlineStr">
        <is>
          <t>दावी भुक्तानी रकम</t>
        </is>
      </c>
      <c r="O54" s="174" t="n"/>
      <c r="P54" s="12" t="n"/>
      <c r="V54" s="14" t="inlineStr">
        <is>
          <t>total collection</t>
        </is>
      </c>
      <c r="W54" s="175">
        <f>C6</f>
        <v/>
      </c>
    </row>
    <row r="55" ht="21" customHeight="1">
      <c r="B55" s="11" t="n"/>
      <c r="C55" s="131" t="inlineStr">
        <is>
          <t>औषधि उपचार, स्वास्थ्य तथा मातृत्व योजना</t>
        </is>
      </c>
      <c r="D55" s="176" t="n"/>
      <c r="E55" s="176" t="n"/>
      <c r="F55" s="19">
        <f>SUM(W6+G14)</f>
        <v/>
      </c>
      <c r="G55" s="43" t="n"/>
      <c r="H55" s="47">
        <f>VALUE(W18)</f>
        <v/>
      </c>
      <c r="I55" s="44">
        <f>VALUE(W21)</f>
        <v/>
      </c>
      <c r="J55" s="43">
        <f>SUM(F55:I55)</f>
        <v/>
      </c>
      <c r="K55" s="177" t="n"/>
      <c r="L55" s="49">
        <f>VALUE(W38)</f>
        <v/>
      </c>
      <c r="M55" s="49">
        <f>VALUE(X38)</f>
        <v/>
      </c>
      <c r="N55" s="138">
        <f>VALUE(Y38)</f>
        <v/>
      </c>
      <c r="O55" s="177" t="n"/>
      <c r="P55" s="11" t="n"/>
      <c r="V55" s="13" t="inlineStr">
        <is>
          <t>total claim</t>
        </is>
      </c>
      <c r="W55" s="168">
        <f>C10</f>
        <v/>
      </c>
    </row>
    <row r="56" ht="21.75" customHeight="1">
      <c r="B56" s="11" t="n"/>
      <c r="C56" s="63" t="inlineStr">
        <is>
          <t>दुर्घटना तथा अशक्तता सुरक्षा योजना</t>
        </is>
      </c>
      <c r="D56" s="178" t="n"/>
      <c r="E56" s="178" t="n"/>
      <c r="F56" s="20">
        <f>VALUE(W7)</f>
        <v/>
      </c>
      <c r="G56" s="179">
        <f>VALUE(W15)</f>
        <v/>
      </c>
      <c r="H56" s="48" t="n">
        <v>0</v>
      </c>
      <c r="I56" s="45">
        <f>VALUE(W22)</f>
        <v/>
      </c>
      <c r="J56" s="179">
        <f>SUM(F56:I57)</f>
        <v/>
      </c>
      <c r="K56" s="180" t="n"/>
      <c r="L56" s="50">
        <f>VALUE(W39)</f>
        <v/>
      </c>
      <c r="M56" s="50">
        <f>VALUE(X39)</f>
        <v/>
      </c>
      <c r="N56" s="118">
        <f>VALUE(Y39)</f>
        <v/>
      </c>
      <c r="O56" s="181" t="n"/>
      <c r="P56" s="11" t="n"/>
      <c r="V56" s="13" t="inlineStr">
        <is>
          <t>medical</t>
        </is>
      </c>
      <c r="W56" s="168">
        <f>N55</f>
        <v/>
      </c>
    </row>
    <row r="57" ht="21" customHeight="1">
      <c r="B57" s="11" t="n"/>
      <c r="C57" s="63" t="inlineStr">
        <is>
          <t>आश्रित परिवार सुरक्षा योजना</t>
        </is>
      </c>
      <c r="D57" s="178" t="n"/>
      <c r="E57" s="178" t="n"/>
      <c r="F57" s="20">
        <f>VALUE(W8)</f>
        <v/>
      </c>
      <c r="G57" s="160" t="n"/>
      <c r="H57" s="48" t="n">
        <v>0</v>
      </c>
      <c r="I57" s="45">
        <f>VALUE(W23)</f>
        <v/>
      </c>
      <c r="J57" s="182" t="n"/>
      <c r="K57" s="177" t="n"/>
      <c r="L57" s="50">
        <f>VALUE(W40)</f>
        <v/>
      </c>
      <c r="M57" s="50">
        <f>VALUE(X40)</f>
        <v/>
      </c>
      <c r="N57" s="118">
        <f>VALUE(Y40)</f>
        <v/>
      </c>
      <c r="O57" s="181" t="n"/>
      <c r="P57" s="11" t="n"/>
      <c r="V57" s="13" t="inlineStr">
        <is>
          <t>accident</t>
        </is>
      </c>
      <c r="W57" s="168">
        <f>N56</f>
        <v/>
      </c>
    </row>
    <row r="58" ht="25.5" customHeight="1" thickBot="1">
      <c r="B58" s="11" t="n"/>
      <c r="C58" s="63" t="inlineStr">
        <is>
          <t>वृद्ध अवस्था सुरक्षा योजना</t>
        </is>
      </c>
      <c r="D58" s="178" t="n"/>
      <c r="E58" s="178" t="n"/>
      <c r="F58" s="36">
        <f>VALUE(W9)+VALUE(W10)</f>
        <v/>
      </c>
      <c r="G58" s="55">
        <f>VALUE(W16)+VALUE(W17)</f>
        <v/>
      </c>
      <c r="H58" s="56">
        <f>VALUE(W19)+VALUE(W20)</f>
        <v/>
      </c>
      <c r="I58" s="46">
        <f>VALUE(W24)+VALUE(W25)</f>
        <v/>
      </c>
      <c r="J58" s="55">
        <f>SUM(F58:I58)</f>
        <v/>
      </c>
      <c r="K58" s="180" t="n"/>
      <c r="L58" s="50">
        <f>VALUE(W41)</f>
        <v/>
      </c>
      <c r="M58" s="50">
        <f>VALUE(X41)</f>
        <v/>
      </c>
      <c r="N58" s="118">
        <f>VALUE(Y41)</f>
        <v/>
      </c>
      <c r="O58" s="181" t="n"/>
      <c r="P58" s="11" t="n"/>
      <c r="V58" s="13" t="inlineStr">
        <is>
          <t>dependent</t>
        </is>
      </c>
      <c r="W58" s="168">
        <f>N57</f>
        <v/>
      </c>
    </row>
    <row r="59" ht="18.75" customHeight="1">
      <c r="B59" s="11" t="n"/>
      <c r="C59" s="63" t="inlineStr">
        <is>
          <t>अतिरिक्त योगदान</t>
        </is>
      </c>
      <c r="D59" s="178" t="n"/>
      <c r="E59" s="178" t="n"/>
      <c r="F59" s="98" t="n"/>
      <c r="G59" s="183" t="n"/>
      <c r="H59" s="183" t="n"/>
      <c r="I59" s="184" t="n"/>
      <c r="J59" s="97">
        <f>VALUE(W11)+VALUE(W12)+VALUE(W13)</f>
        <v/>
      </c>
      <c r="K59" s="181" t="n"/>
      <c r="L59" s="185" t="n"/>
      <c r="M59" s="185" t="n"/>
      <c r="N59" s="186" t="n"/>
      <c r="O59" s="180" t="n"/>
      <c r="P59" s="11" t="n"/>
      <c r="V59" s="13" t="inlineStr">
        <is>
          <t>old age</t>
        </is>
      </c>
      <c r="W59" s="168">
        <f>N58</f>
        <v/>
      </c>
    </row>
    <row r="60" hidden="1" ht="17.25" customHeight="1">
      <c r="B60" s="11" t="n"/>
      <c r="C60" s="63" t="inlineStr">
        <is>
          <t>विशेष सुविधा अवकाश बचत कोष</t>
        </is>
      </c>
      <c r="D60" s="178" t="n"/>
      <c r="E60" s="178" t="n"/>
      <c r="F60" s="58" t="n"/>
      <c r="G60" s="57" t="n"/>
      <c r="H60" s="57" t="n"/>
      <c r="I60" s="59" t="n"/>
      <c r="J60" s="26" t="n"/>
      <c r="K60" s="97" t="n"/>
      <c r="L60" s="163" t="n"/>
      <c r="M60" s="163" t="n"/>
      <c r="O60" s="6" t="n"/>
      <c r="P60" s="11" t="n"/>
    </row>
    <row r="61" hidden="1" ht="17.25" customHeight="1">
      <c r="B61" s="11" t="n"/>
      <c r="C61" s="63" t="inlineStr">
        <is>
          <t>अतिरिक्त योगदान कोष</t>
        </is>
      </c>
      <c r="D61" s="178" t="n"/>
      <c r="E61" s="178" t="n"/>
      <c r="F61" s="58" t="n"/>
      <c r="G61" s="57" t="n"/>
      <c r="H61" s="57" t="n"/>
      <c r="I61" s="59" t="n"/>
      <c r="J61" s="26" t="n"/>
      <c r="K61" s="97" t="n"/>
      <c r="L61" s="163" t="n"/>
      <c r="M61" s="163" t="n"/>
      <c r="O61" s="6" t="n"/>
      <c r="P61" s="11" t="n"/>
    </row>
    <row r="62" hidden="1" ht="16.5" customHeight="1">
      <c r="B62" s="11" t="n"/>
      <c r="C62" s="63" t="inlineStr">
        <is>
          <t>अन्य कोषबाट स्थानान्तरण</t>
        </is>
      </c>
      <c r="D62" s="178" t="n"/>
      <c r="E62" s="178" t="n"/>
      <c r="F62" s="58" t="n"/>
      <c r="G62" s="57" t="n"/>
      <c r="H62" s="57" t="n"/>
      <c r="I62" s="59" t="n"/>
      <c r="J62" s="26" t="n"/>
      <c r="K62" s="97" t="n"/>
      <c r="L62" s="163" t="n"/>
      <c r="M62" s="163" t="n"/>
      <c r="O62" s="6" t="n"/>
      <c r="P62" s="11" t="n"/>
    </row>
    <row r="63" hidden="1" ht="20.1" customHeight="1">
      <c r="B63" s="11" t="n"/>
      <c r="C63" s="63" t="inlineStr">
        <is>
          <t>अवकाश प्रतिफल कोष</t>
        </is>
      </c>
      <c r="D63" s="178" t="n"/>
      <c r="E63" s="178" t="n"/>
      <c r="F63" s="58" t="n"/>
      <c r="G63" s="57" t="n"/>
      <c r="H63" s="57" t="n"/>
      <c r="I63" s="59" t="n"/>
      <c r="J63" s="26" t="n"/>
      <c r="K63" s="97" t="n"/>
      <c r="L63" s="163" t="n"/>
      <c r="M63" s="163" t="n"/>
      <c r="O63" s="6" t="n"/>
      <c r="P63" s="11" t="n"/>
    </row>
    <row r="64" hidden="1" ht="17.25" customHeight="1">
      <c r="B64" s="11" t="n"/>
      <c r="C64" s="63" t="inlineStr">
        <is>
          <t>निवृत्तिभरण प्रतिफल कोष</t>
        </is>
      </c>
      <c r="D64" s="178" t="n"/>
      <c r="E64" s="178" t="n"/>
      <c r="F64" s="58" t="n"/>
      <c r="G64" s="57" t="n"/>
      <c r="H64" s="57" t="n"/>
      <c r="I64" s="59" t="n"/>
      <c r="J64" s="26" t="n"/>
      <c r="K64" s="97" t="n"/>
      <c r="L64" s="163" t="n"/>
      <c r="M64" s="163" t="n"/>
      <c r="O64" s="6" t="n"/>
      <c r="P64" s="11" t="n"/>
    </row>
    <row r="65" ht="17.25" customHeight="1" thickBot="1">
      <c r="B65" s="11" t="n"/>
      <c r="C65" s="80" t="inlineStr">
        <is>
          <t xml:space="preserve">प्रतिफल </t>
        </is>
      </c>
      <c r="D65" s="167" t="n"/>
      <c r="E65" s="167" t="n"/>
      <c r="F65" s="93" t="n"/>
      <c r="G65" s="187" t="n"/>
      <c r="H65" s="187" t="n"/>
      <c r="I65" s="188" t="n"/>
      <c r="J65" s="83">
        <f>VALUE(W14)+VALUE(W26)+VALUE(W27)+VALUE(W28)+VALUE(W29)+VALUE(W30)+VALUE(W31)+VALUE(W32)+VALUE(W33)</f>
        <v/>
      </c>
      <c r="K65" s="189" t="n"/>
      <c r="L65" s="162" t="n"/>
      <c r="M65" s="162" t="n"/>
      <c r="N65" s="8" t="n"/>
      <c r="O65" s="9" t="n"/>
      <c r="P65" s="11" t="n"/>
    </row>
    <row r="66" ht="23.45" customHeight="1">
      <c r="B66" s="11" t="n"/>
      <c r="C66" s="190" t="inlineStr">
        <is>
          <t>जम्मा</t>
        </is>
      </c>
      <c r="D66" s="3" t="n"/>
      <c r="E66" s="3" t="n"/>
      <c r="F66" s="3" t="n"/>
      <c r="G66" s="3" t="n"/>
      <c r="H66" s="3" t="n"/>
      <c r="I66" s="4" t="n"/>
      <c r="J66" s="191">
        <f>CONCATENATE(B7," ",C7," ",B8," ",C8)</f>
        <v/>
      </c>
      <c r="K66" s="6" t="n"/>
      <c r="L66" s="72">
        <f>SUM(L55:L58)</f>
        <v/>
      </c>
      <c r="M66" s="72">
        <f>SUM(M55:M58)</f>
        <v/>
      </c>
      <c r="N66" s="71">
        <f>CONCATENATE(B11," ",C11," ",B12," ",C12)</f>
        <v/>
      </c>
      <c r="O66" s="6" t="n"/>
      <c r="P66" s="11" t="n"/>
    </row>
    <row r="67" ht="10.5" customHeight="1" thickBot="1">
      <c r="B67" s="11" t="n"/>
      <c r="C67" s="7" t="n"/>
      <c r="D67" s="8" t="n"/>
      <c r="E67" s="8" t="n"/>
      <c r="F67" s="8" t="n"/>
      <c r="G67" s="8" t="n"/>
      <c r="H67" s="8" t="n"/>
      <c r="I67" s="9" t="n"/>
      <c r="J67" s="7" t="n"/>
      <c r="K67" s="9" t="n"/>
      <c r="L67" s="162" t="n"/>
      <c r="M67" s="162" t="n"/>
      <c r="N67" s="8" t="n"/>
      <c r="O67" s="9" t="n"/>
      <c r="P67" s="11" t="n"/>
    </row>
    <row r="68"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</row>
    <row r="122" ht="10.5" customHeight="1"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</row>
  </sheetData>
  <mergeCells count="45">
    <mergeCell ref="C41:O45"/>
    <mergeCell ref="L48:L49"/>
    <mergeCell ref="L66:L67"/>
    <mergeCell ref="M48:M49"/>
    <mergeCell ref="C55:E55"/>
    <mergeCell ref="N59:O65"/>
    <mergeCell ref="C53:E54"/>
    <mergeCell ref="N54:O54"/>
    <mergeCell ref="C56:E56"/>
    <mergeCell ref="J59:K59"/>
    <mergeCell ref="C59:E59"/>
    <mergeCell ref="L51:N51"/>
    <mergeCell ref="L59:L65"/>
    <mergeCell ref="J66:K67"/>
    <mergeCell ref="N56:O56"/>
    <mergeCell ref="J56:K57"/>
    <mergeCell ref="C60:E60"/>
    <mergeCell ref="O48:O50"/>
    <mergeCell ref="C61:E61"/>
    <mergeCell ref="N58:O58"/>
    <mergeCell ref="J65:K65"/>
    <mergeCell ref="F65:I65"/>
    <mergeCell ref="J55:K55"/>
    <mergeCell ref="C46:O47"/>
    <mergeCell ref="N48:N49"/>
    <mergeCell ref="D48:K48"/>
    <mergeCell ref="L53:O53"/>
    <mergeCell ref="C57:E57"/>
    <mergeCell ref="J54:K54"/>
    <mergeCell ref="C66:I67"/>
    <mergeCell ref="M66:M67"/>
    <mergeCell ref="F59:I59"/>
    <mergeCell ref="N57:O57"/>
    <mergeCell ref="F53:K53"/>
    <mergeCell ref="N66:O67"/>
    <mergeCell ref="M59:M65"/>
    <mergeCell ref="C48:C49"/>
    <mergeCell ref="C62:E62"/>
    <mergeCell ref="C58:E58"/>
    <mergeCell ref="G56:G57"/>
    <mergeCell ref="C63:E63"/>
    <mergeCell ref="C64:E64"/>
    <mergeCell ref="J58:K58"/>
    <mergeCell ref="N55:O55"/>
    <mergeCell ref="C65:E6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2026-05-15T10:26:12Z</dcterms:modified>
</cp:coreProperties>
</file>