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04EBBF37-71A4-4245-953A-C4F1443D920B}" xr6:coauthVersionLast="47" xr6:coauthVersionMax="47" xr10:uidLastSave="{00000000-0000-0000-0000-000000000000}"/>
  <bookViews>
    <workbookView xWindow="-19320" yWindow="1755" windowWidth="19440" windowHeight="10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5" i="1" l="1"/>
  <c r="J59" i="1"/>
  <c r="J65" i="1"/>
  <c r="C6" i="1"/>
  <c r="W54" i="1" s="1"/>
  <c r="C9" i="1"/>
  <c r="I58" i="1" l="1"/>
  <c r="I57" i="1"/>
  <c r="I56" i="1"/>
  <c r="I55" i="1"/>
  <c r="H58" i="1"/>
  <c r="H55" i="1"/>
  <c r="G58" i="1" l="1"/>
  <c r="AA11" i="1"/>
  <c r="F58" i="1"/>
  <c r="G56" i="1"/>
  <c r="F56" i="1" l="1"/>
  <c r="J58" i="1"/>
  <c r="H8" i="1"/>
  <c r="H7" i="1"/>
  <c r="G8" i="1"/>
  <c r="G7" i="1"/>
  <c r="F8" i="1"/>
  <c r="F7" i="1"/>
  <c r="H9" i="1" l="1"/>
  <c r="N52" i="1" s="1"/>
  <c r="G9" i="1"/>
  <c r="M52" i="1" s="1"/>
  <c r="F9" i="1"/>
  <c r="L52" i="1" s="1"/>
  <c r="B3" i="1"/>
  <c r="D52" i="1" s="1"/>
  <c r="I3" i="1" l="1"/>
  <c r="D2" i="1" l="1"/>
  <c r="F51" i="1" s="1"/>
  <c r="B2" i="1"/>
  <c r="D51" i="1" s="1"/>
  <c r="C2" i="1"/>
  <c r="E51" i="1" s="1"/>
  <c r="F57" i="1" l="1"/>
  <c r="J56" i="1" s="1"/>
  <c r="J55" i="1"/>
  <c r="F2" i="1" l="1"/>
  <c r="N56" i="1" l="1"/>
  <c r="W57" i="1" s="1"/>
  <c r="N57" i="1"/>
  <c r="W58" i="1" s="1"/>
  <c r="N58" i="1"/>
  <c r="W59" i="1" s="1"/>
  <c r="N55" i="1"/>
  <c r="W56" i="1" s="1"/>
  <c r="M56" i="1"/>
  <c r="M57" i="1"/>
  <c r="M58" i="1"/>
  <c r="M55" i="1"/>
  <c r="L56" i="1"/>
  <c r="L57" i="1"/>
  <c r="L58" i="1"/>
  <c r="L55" i="1"/>
  <c r="M66" i="1" l="1"/>
  <c r="L66" i="1"/>
  <c r="C10" i="1"/>
  <c r="E2" i="1"/>
  <c r="G51" i="1" s="1"/>
  <c r="H51" i="1"/>
  <c r="G2" i="1"/>
  <c r="I51" i="1" s="1"/>
  <c r="H2" i="1"/>
  <c r="J51" i="1" s="1"/>
  <c r="C3" i="1"/>
  <c r="E52" i="1" s="1"/>
  <c r="D3" i="1"/>
  <c r="F52" i="1" s="1"/>
  <c r="E3" i="1"/>
  <c r="G52" i="1" s="1"/>
  <c r="F3" i="1"/>
  <c r="H52" i="1" s="1"/>
  <c r="G3" i="1"/>
  <c r="I52" i="1" s="1"/>
  <c r="H3" i="1"/>
  <c r="J52" i="1" s="1"/>
  <c r="O52" i="1"/>
  <c r="W53" i="1" s="1"/>
  <c r="K51" i="1" l="1"/>
  <c r="K52" i="1"/>
  <c r="B11" i="1"/>
  <c r="B12" i="1" s="1"/>
  <c r="W55" i="1"/>
  <c r="I2" i="1"/>
  <c r="O51" i="1" s="1"/>
  <c r="W52" i="1" s="1"/>
  <c r="B7" i="1" l="1"/>
  <c r="B8" i="1" s="1"/>
  <c r="N66" i="1"/>
  <c r="J66" i="1" l="1"/>
</calcChain>
</file>

<file path=xl/sharedStrings.xml><?xml version="1.0" encoding="utf-8"?>
<sst xmlns="http://schemas.openxmlformats.org/spreadsheetml/2006/main" count="156" uniqueCount="128">
  <si>
    <t>Province</t>
  </si>
  <si>
    <t>Employer</t>
  </si>
  <si>
    <t>Contributor</t>
  </si>
  <si>
    <t>Data For</t>
  </si>
  <si>
    <t>Empty</t>
  </si>
  <si>
    <t>State 1</t>
  </si>
  <si>
    <t>State 2</t>
  </si>
  <si>
    <t>Bagmati</t>
  </si>
  <si>
    <t>Gandaki</t>
  </si>
  <si>
    <t>Karnali</t>
  </si>
  <si>
    <t>Sudur Paschimanchal</t>
  </si>
  <si>
    <t>Total</t>
  </si>
  <si>
    <t>EMPLOYER_VERIFIED</t>
  </si>
  <si>
    <t>EMPLOYER_SAVED</t>
  </si>
  <si>
    <t>EMPLOYER_SUBMITTED</t>
  </si>
  <si>
    <t>CONTRIBUTOR_VERIFIED</t>
  </si>
  <si>
    <t>CONTRIBUTOR_SAVED</t>
  </si>
  <si>
    <t>CONTRIBUTOR_SUBMITTED</t>
  </si>
  <si>
    <t>CONTRIBUTOR_PENDING</t>
  </si>
  <si>
    <t>EMPLOYER_TOTAL</t>
  </si>
  <si>
    <t>CONTRIBUTOR_TOTAL</t>
  </si>
  <si>
    <t>Lumbini</t>
  </si>
  <si>
    <t>सामाजिक सुरक्षा कोषमा हालसम्म आवद्ध
संस्था, योगदानकर्ता तथा दावी भुक्तानीको विवरण</t>
  </si>
  <si>
    <t>गण्डकी</t>
  </si>
  <si>
    <t>कर्णाली</t>
  </si>
  <si>
    <t>बागमती</t>
  </si>
  <si>
    <t>लुम्बिनी</t>
  </si>
  <si>
    <t>जम्मा</t>
  </si>
  <si>
    <t>प्रदेश</t>
  </si>
  <si>
    <t>रोजगारदाता</t>
  </si>
  <si>
    <t>योगदानकर्ता</t>
  </si>
  <si>
    <t>योजना</t>
  </si>
  <si>
    <t>दावी भुक्तानी</t>
  </si>
  <si>
    <t>औषधि उपचार, स्वास्थ्य तथा मातृत्व योजना</t>
  </si>
  <si>
    <t>दुर्घटना तथा अशक्तता सुरक्षा योजना</t>
  </si>
  <si>
    <t>आश्रित परिवार सुरक्षा योजना</t>
  </si>
  <si>
    <t>वृद्ध अवस्था सुरक्षा योजना</t>
  </si>
  <si>
    <t>योगदान रकम संकलन</t>
  </si>
  <si>
    <t>Amount</t>
  </si>
  <si>
    <t>Collection Total</t>
  </si>
  <si>
    <t>Penalty Total</t>
  </si>
  <si>
    <t>Collection Today</t>
  </si>
  <si>
    <t>Medical Treatment, Health and Maternity Protection Scheme</t>
  </si>
  <si>
    <t>Accident and Disability Protection Scheme</t>
  </si>
  <si>
    <t>Dependent Family Protection Scheme</t>
  </si>
  <si>
    <t>Old Age Protection Scheme</t>
  </si>
  <si>
    <t>Scheme</t>
  </si>
  <si>
    <t>No. of Contributors</t>
  </si>
  <si>
    <t>Total Claimed Amount</t>
  </si>
  <si>
    <t>Claim Count</t>
  </si>
  <si>
    <t>Total Collection</t>
  </si>
  <si>
    <t>अर्ब</t>
  </si>
  <si>
    <t>करोड</t>
  </si>
  <si>
    <t>Total Claim</t>
  </si>
  <si>
    <t>दावी भुक्तानी संख्या (पटक)</t>
  </si>
  <si>
    <t>दावी भुक्तानी रकम</t>
  </si>
  <si>
    <t>अतिरिक्त योगदान कोष</t>
  </si>
  <si>
    <t>अन्य कोषबाट स्थानान्तरण</t>
  </si>
  <si>
    <t>General Gratuity Fund</t>
  </si>
  <si>
    <t>Addition Contribution Fund(GAP 28.33-33%)</t>
  </si>
  <si>
    <t>Transfer from different Pension Fund</t>
  </si>
  <si>
    <t>Collection Amount</t>
  </si>
  <si>
    <t>Medical</t>
  </si>
  <si>
    <t>Accident</t>
  </si>
  <si>
    <t>Dependent</t>
  </si>
  <si>
    <t>Old Age</t>
  </si>
  <si>
    <t>Balance</t>
  </si>
  <si>
    <t>Special Privilege Gratuity Surplus Fund</t>
  </si>
  <si>
    <t>Closing Collection Total</t>
  </si>
  <si>
    <t>Retirement Return Fund</t>
  </si>
  <si>
    <t>अवकाश प्रतिफल कोष</t>
  </si>
  <si>
    <t>निवृत्तिभरण प्रतिफल कोष</t>
  </si>
  <si>
    <t>विशेष सुविधा अवकाश बचत कोष</t>
  </si>
  <si>
    <t>सुदुर 
पश्चिम</t>
  </si>
  <si>
    <t>name</t>
  </si>
  <si>
    <t>value</t>
  </si>
  <si>
    <t>employers</t>
  </si>
  <si>
    <t>contributors</t>
  </si>
  <si>
    <t>total claim</t>
  </si>
  <si>
    <t>total collection</t>
  </si>
  <si>
    <t>medical</t>
  </si>
  <si>
    <t>accident</t>
  </si>
  <si>
    <t>dependent</t>
  </si>
  <si>
    <t>old age</t>
  </si>
  <si>
    <t>कोशी</t>
  </si>
  <si>
    <t xml:space="preserve">मधेश </t>
  </si>
  <si>
    <t>CONTRIBUTOR_Migrant W. Dofe</t>
  </si>
  <si>
    <t>CONTRIBUTOR_Migrant W.</t>
  </si>
  <si>
    <t>CONTRIBUTOR_Migrant S/W.</t>
  </si>
  <si>
    <t>CONTRIBUTOR_Informal W.</t>
  </si>
  <si>
    <t>CONTRIBUTOR_Informal S/W.</t>
  </si>
  <si>
    <t>Old Age Protection Fund for Migrant Contributor</t>
  </si>
  <si>
    <t>General Gratuity Fund for Migrant Contributor</t>
  </si>
  <si>
    <t>औपचारिक</t>
  </si>
  <si>
    <t>अनौपचारिक</t>
  </si>
  <si>
    <t>वैदेशिक</t>
  </si>
  <si>
    <t>स्वरोजगार</t>
  </si>
  <si>
    <t>Baideshik</t>
  </si>
  <si>
    <t>Anaupcharik</t>
  </si>
  <si>
    <t>Swarojgar</t>
  </si>
  <si>
    <t>Value&gt;</t>
  </si>
  <si>
    <t>अतिरिक्त योगदान</t>
  </si>
  <si>
    <t>Old Age Protection Fund for Informal Contributor</t>
  </si>
  <si>
    <t>Accident and Disability Protection Scheme for Self Employed Contributor</t>
  </si>
  <si>
    <t>Dependent Family Protection Scheme for Self Employed Contributor</t>
  </si>
  <si>
    <t>Pension Fund for Self Employed Contributor</t>
  </si>
  <si>
    <t>Pension Return Fund</t>
  </si>
  <si>
    <t>Pension Interest for Migrant Contributor</t>
  </si>
  <si>
    <t>Gratuity Interest for Migrant Contributor</t>
  </si>
  <si>
    <t>m</t>
  </si>
  <si>
    <t>i</t>
  </si>
  <si>
    <t>s</t>
  </si>
  <si>
    <t xml:space="preserve">प्रतिफल </t>
  </si>
  <si>
    <t>General Gratuity Fund for Informal Contributor</t>
  </si>
  <si>
    <t>Pension Interest For Informal Contributor</t>
  </si>
  <si>
    <t>Gratuity Interest For Informal Contributor</t>
  </si>
  <si>
    <t>Pension Interest for Self Employed Contributor</t>
  </si>
  <si>
    <t>Gratuity Interest for Self Employed Contributor</t>
  </si>
  <si>
    <t>Sum of Collection Categories</t>
  </si>
  <si>
    <t xml:space="preserve">  </t>
  </si>
  <si>
    <t>Extra Gratuity Fund for Self Employed Contributor</t>
  </si>
  <si>
    <t>Gratuity Fund for Self Employed Contributor</t>
  </si>
  <si>
    <t>Medical,Accident, and Dependent for Migrant Contributor</t>
  </si>
  <si>
    <t>Medical, Accident and Dependent for Informal Contributor</t>
  </si>
  <si>
    <t>Medical Scheme for Self Employed Contributor</t>
  </si>
  <si>
    <t>दाबी गर्नेको 
संख्या</t>
  </si>
  <si>
    <t>1% Addition</t>
  </si>
  <si>
    <t xml:space="preserve">वि.सं.२०८३ वैशाख ०९ गते 
ने.सं.११४६ बछलाथ्व पञ्चमी बुधवार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</si>
</sst>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00439]0"/>
    <numFmt numFmtId="165" formatCode="0;[Red]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alimati"/>
      <charset val="1"/>
    </font>
    <font>
      <sz val="12"/>
      <color theme="1"/>
      <name val="Kalimati"/>
      <charset val="1"/>
    </font>
    <font>
      <sz val="14"/>
      <color theme="1"/>
      <name val="Calibri"/>
      <family val="2"/>
      <scheme val="minor"/>
    </font>
    <font>
      <b/>
      <sz val="11"/>
      <color theme="1"/>
      <name val="Kalimati"/>
      <charset val="1"/>
    </font>
    <font>
      <b/>
      <sz val="12"/>
      <color theme="1"/>
      <name val="Kalimati"/>
      <charset val="1"/>
    </font>
    <font>
      <sz val="10"/>
      <color theme="1"/>
      <name val="Kalimati"/>
      <charset val="1"/>
    </font>
    <font>
      <b/>
      <sz val="10"/>
      <color theme="1"/>
      <name val="Kalimati"/>
      <charset val="1"/>
    </font>
    <font>
      <sz val="7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4"/>
      <color theme="1"/>
      <name val="Kalimati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5">
    <xf numFmtId="0" fontId="0" fillId="0" borderId="0" xfId="0"/>
    <xf numFmtId="0" fontId="5" fillId="0" borderId="0" xfId="0" applyFont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1" xfId="0" applyBorder="1"/>
    <xf numFmtId="2" fontId="0" fillId="0" borderId="0" xfId="0" applyNumberFormat="1"/>
    <xf numFmtId="0" fontId="0" fillId="6" borderId="0" xfId="0" applyFill="1"/>
    <xf numFmtId="0" fontId="5" fillId="6" borderId="0" xfId="0" applyFont="1" applyFill="1" applyAlignment="1">
      <alignment vertical="center"/>
    </xf>
    <xf numFmtId="0" fontId="0" fillId="0" borderId="10" xfId="0" applyBorder="1"/>
    <xf numFmtId="0" fontId="5" fillId="0" borderId="10" xfId="0" applyFont="1" applyBorder="1" applyAlignment="1">
      <alignment vertical="center"/>
    </xf>
    <xf numFmtId="165" fontId="0" fillId="0" borderId="10" xfId="0" applyNumberFormat="1" applyBorder="1"/>
    <xf numFmtId="165" fontId="5" fillId="0" borderId="10" xfId="0" applyNumberFormat="1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2" fontId="8" fillId="3" borderId="26" xfId="0" applyNumberFormat="1" applyFont="1" applyFill="1" applyBorder="1" applyAlignment="1">
      <alignment horizontal="left" vertical="top"/>
    </xf>
    <xf numFmtId="2" fontId="8" fillId="3" borderId="15" xfId="0" applyNumberFormat="1" applyFont="1" applyFill="1" applyBorder="1" applyAlignment="1">
      <alignment horizontal="left" vertical="top"/>
    </xf>
    <xf numFmtId="0" fontId="10" fillId="8" borderId="0" xfId="0" applyFont="1" applyFill="1" applyAlignment="1">
      <alignment vertical="top" wrapText="1"/>
    </xf>
    <xf numFmtId="0" fontId="11" fillId="7" borderId="25" xfId="0" applyFont="1" applyFill="1" applyBorder="1" applyAlignment="1">
      <alignment vertical="top" wrapText="1"/>
    </xf>
    <xf numFmtId="0" fontId="12" fillId="8" borderId="25" xfId="0" applyFont="1" applyFill="1" applyBorder="1" applyAlignment="1">
      <alignment vertical="top" wrapText="1"/>
    </xf>
    <xf numFmtId="0" fontId="12" fillId="7" borderId="25" xfId="0" applyFont="1" applyFill="1" applyBorder="1" applyAlignment="1">
      <alignment vertical="top" wrapText="1"/>
    </xf>
    <xf numFmtId="0" fontId="11" fillId="7" borderId="38" xfId="0" applyFont="1" applyFill="1" applyBorder="1" applyAlignment="1">
      <alignment horizontal="left" wrapText="1"/>
    </xf>
    <xf numFmtId="2" fontId="8" fillId="3" borderId="11" xfId="0" applyNumberFormat="1" applyFont="1" applyFill="1" applyBorder="1" applyAlignment="1">
      <alignment horizontal="left" vertical="top"/>
    </xf>
    <xf numFmtId="164" fontId="3" fillId="2" borderId="27" xfId="0" applyNumberFormat="1" applyFont="1" applyFill="1" applyBorder="1" applyAlignment="1">
      <alignment horizontal="center" vertical="center"/>
    </xf>
    <xf numFmtId="164" fontId="3" fillId="2" borderId="29" xfId="0" applyNumberFormat="1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left" vertical="top"/>
    </xf>
    <xf numFmtId="0" fontId="7" fillId="2" borderId="45" xfId="0" applyFont="1" applyFill="1" applyBorder="1" applyAlignment="1">
      <alignment horizontal="left" vertical="top"/>
    </xf>
    <xf numFmtId="2" fontId="8" fillId="3" borderId="18" xfId="0" applyNumberFormat="1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 wrapText="1"/>
    </xf>
    <xf numFmtId="2" fontId="8" fillId="3" borderId="33" xfId="0" applyNumberFormat="1" applyFont="1" applyFill="1" applyBorder="1" applyAlignment="1">
      <alignment horizontal="left" vertical="top"/>
    </xf>
    <xf numFmtId="164" fontId="3" fillId="2" borderId="43" xfId="0" applyNumberFormat="1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2" fontId="8" fillId="3" borderId="43" xfId="0" applyNumberFormat="1" applyFont="1" applyFill="1" applyBorder="1" applyAlignment="1">
      <alignment horizontal="left" vertical="top"/>
    </xf>
    <xf numFmtId="0" fontId="8" fillId="3" borderId="49" xfId="0" quotePrefix="1" applyFont="1" applyFill="1" applyBorder="1" applyAlignment="1">
      <alignment horizontal="left" vertical="top"/>
    </xf>
    <xf numFmtId="0" fontId="8" fillId="3" borderId="18" xfId="0" quotePrefix="1" applyFont="1" applyFill="1" applyBorder="1" applyAlignment="1">
      <alignment horizontal="left" vertical="top"/>
    </xf>
    <xf numFmtId="0" fontId="8" fillId="3" borderId="9" xfId="0" quotePrefix="1" applyFont="1" applyFill="1" applyBorder="1" applyAlignment="1">
      <alignment horizontal="left" vertical="top"/>
    </xf>
    <xf numFmtId="0" fontId="8" fillId="3" borderId="46" xfId="0" quotePrefix="1" applyFont="1" applyFill="1" applyBorder="1" applyAlignment="1">
      <alignment horizontal="left" vertical="top"/>
    </xf>
    <xf numFmtId="0" fontId="8" fillId="3" borderId="44" xfId="0" quotePrefix="1" applyFont="1" applyFill="1" applyBorder="1" applyAlignment="1">
      <alignment horizontal="left" vertical="top"/>
    </xf>
    <xf numFmtId="0" fontId="3" fillId="4" borderId="43" xfId="0" applyFont="1" applyFill="1" applyBorder="1" applyAlignment="1">
      <alignment horizontal="left" vertical="top"/>
    </xf>
    <xf numFmtId="0" fontId="3" fillId="4" borderId="44" xfId="0" applyFont="1" applyFill="1" applyBorder="1" applyAlignment="1">
      <alignment horizontal="left" vertical="top"/>
    </xf>
    <xf numFmtId="0" fontId="8" fillId="2" borderId="43" xfId="0" applyFont="1" applyFill="1" applyBorder="1" applyAlignment="1">
      <alignment horizontal="center" vertical="center"/>
    </xf>
    <xf numFmtId="164" fontId="3" fillId="2" borderId="31" xfId="0" applyNumberFormat="1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2" fontId="8" fillId="3" borderId="48" xfId="0" applyNumberFormat="1" applyFont="1" applyFill="1" applyBorder="1" applyAlignment="1">
      <alignment horizontal="left" vertical="top"/>
    </xf>
    <xf numFmtId="0" fontId="8" fillId="3" borderId="48" xfId="0" quotePrefix="1" applyFont="1" applyFill="1" applyBorder="1" applyAlignment="1">
      <alignment horizontal="left" vertical="top"/>
    </xf>
    <xf numFmtId="2" fontId="8" fillId="3" borderId="10" xfId="0" applyNumberFormat="1" applyFont="1" applyFill="1" applyBorder="1" applyAlignment="1">
      <alignment vertical="top"/>
    </xf>
    <xf numFmtId="2" fontId="8" fillId="3" borderId="15" xfId="0" applyNumberFormat="1" applyFont="1" applyFill="1" applyBorder="1" applyAlignment="1">
      <alignment vertical="top"/>
    </xf>
    <xf numFmtId="2" fontId="8" fillId="3" borderId="16" xfId="0" applyNumberFormat="1" applyFont="1" applyFill="1" applyBorder="1" applyAlignment="1">
      <alignment vertical="top"/>
    </xf>
    <xf numFmtId="0" fontId="0" fillId="10" borderId="0" xfId="0" applyFill="1"/>
    <xf numFmtId="0" fontId="11" fillId="8" borderId="38" xfId="0" applyFont="1" applyFill="1" applyBorder="1" applyAlignment="1">
      <alignment horizontal="left" wrapText="1"/>
    </xf>
    <xf numFmtId="0" fontId="11" fillId="8" borderId="25" xfId="0" applyFont="1" applyFill="1" applyBorder="1" applyAlignment="1">
      <alignment vertical="top" wrapText="1"/>
    </xf>
    <xf numFmtId="0" fontId="8" fillId="4" borderId="17" xfId="0" applyFont="1" applyFill="1" applyBorder="1" applyAlignment="1">
      <alignment horizontal="left" vertical="center"/>
    </xf>
    <xf numFmtId="0" fontId="8" fillId="4" borderId="24" xfId="0" applyFont="1" applyFill="1" applyBorder="1" applyAlignment="1">
      <alignment horizontal="left" vertical="center"/>
    </xf>
    <xf numFmtId="43" fontId="9" fillId="5" borderId="6" xfId="1" applyFont="1" applyFill="1" applyBorder="1" applyAlignment="1">
      <alignment horizontal="left" vertical="center" wrapText="1"/>
    </xf>
    <xf numFmtId="43" fontId="9" fillId="5" borderId="7" xfId="1" applyFont="1" applyFill="1" applyBorder="1" applyAlignment="1">
      <alignment horizontal="left" vertical="center" wrapText="1"/>
    </xf>
    <xf numFmtId="43" fontId="9" fillId="5" borderId="8" xfId="1" applyFont="1" applyFill="1" applyBorder="1" applyAlignment="1">
      <alignment horizontal="left" vertical="center" wrapText="1"/>
    </xf>
    <xf numFmtId="43" fontId="9" fillId="5" borderId="1" xfId="1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/>
    </xf>
    <xf numFmtId="0" fontId="9" fillId="5" borderId="40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32" xfId="0" applyFont="1" applyFill="1" applyBorder="1" applyAlignment="1">
      <alignment horizontal="left" vertical="center"/>
    </xf>
    <xf numFmtId="2" fontId="8" fillId="3" borderId="41" xfId="0" applyNumberFormat="1" applyFont="1" applyFill="1" applyBorder="1" applyAlignment="1">
      <alignment horizontal="left" vertical="top"/>
    </xf>
    <xf numFmtId="2" fontId="8" fillId="3" borderId="39" xfId="0" applyNumberFormat="1" applyFont="1" applyFill="1" applyBorder="1" applyAlignment="1">
      <alignment horizontal="left" vertical="top"/>
    </xf>
    <xf numFmtId="0" fontId="3" fillId="4" borderId="48" xfId="0" applyFont="1" applyFill="1" applyBorder="1" applyAlignment="1">
      <alignment horizontal="center" vertical="top"/>
    </xf>
    <xf numFmtId="0" fontId="3" fillId="4" borderId="40" xfId="0" applyFont="1" applyFill="1" applyBorder="1" applyAlignment="1">
      <alignment horizontal="center" vertical="top"/>
    </xf>
    <xf numFmtId="0" fontId="3" fillId="4" borderId="34" xfId="0" applyFont="1" applyFill="1" applyBorder="1" applyAlignment="1">
      <alignment horizontal="center" vertical="top"/>
    </xf>
    <xf numFmtId="0" fontId="3" fillId="4" borderId="32" xfId="0" applyFont="1" applyFill="1" applyBorder="1" applyAlignment="1">
      <alignment horizontal="center" vertical="top"/>
    </xf>
    <xf numFmtId="0" fontId="3" fillId="4" borderId="9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2" fontId="8" fillId="3" borderId="20" xfId="0" applyNumberFormat="1" applyFont="1" applyFill="1" applyBorder="1" applyAlignment="1">
      <alignment horizontal="center" vertical="top"/>
    </xf>
    <xf numFmtId="2" fontId="8" fillId="3" borderId="21" xfId="0" applyNumberFormat="1" applyFont="1" applyFill="1" applyBorder="1" applyAlignment="1">
      <alignment horizontal="center" vertical="top"/>
    </xf>
    <xf numFmtId="2" fontId="8" fillId="3" borderId="22" xfId="0" applyNumberFormat="1" applyFont="1" applyFill="1" applyBorder="1" applyAlignment="1">
      <alignment horizontal="center" vertical="top"/>
    </xf>
    <xf numFmtId="2" fontId="8" fillId="3" borderId="24" xfId="0" applyNumberFormat="1" applyFont="1" applyFill="1" applyBorder="1" applyAlignment="1">
      <alignment horizontal="left" vertical="top"/>
    </xf>
    <xf numFmtId="2" fontId="8" fillId="3" borderId="18" xfId="0" applyNumberFormat="1" applyFont="1" applyFill="1" applyBorder="1" applyAlignment="1">
      <alignment horizontal="left" vertical="top"/>
    </xf>
    <xf numFmtId="2" fontId="8" fillId="3" borderId="12" xfId="0" applyNumberFormat="1" applyFont="1" applyFill="1" applyBorder="1" applyAlignment="1">
      <alignment horizontal="center" vertical="top"/>
    </xf>
    <xf numFmtId="2" fontId="8" fillId="3" borderId="13" xfId="0" applyNumberFormat="1" applyFont="1" applyFill="1" applyBorder="1" applyAlignment="1">
      <alignment horizontal="center" vertical="top"/>
    </xf>
    <xf numFmtId="2" fontId="8" fillId="3" borderId="14" xfId="0" applyNumberFormat="1" applyFont="1" applyFill="1" applyBorder="1" applyAlignment="1">
      <alignment horizontal="center" vertical="top"/>
    </xf>
    <xf numFmtId="0" fontId="4" fillId="9" borderId="6" xfId="0" applyFont="1" applyFill="1" applyBorder="1" applyAlignment="1">
      <alignment horizontal="center" vertical="top" wrapText="1"/>
    </xf>
    <xf numFmtId="0" fontId="4" fillId="9" borderId="7" xfId="0" applyFont="1" applyFill="1" applyBorder="1" applyAlignment="1">
      <alignment horizontal="center" vertical="top" wrapText="1"/>
    </xf>
    <xf numFmtId="0" fontId="4" fillId="9" borderId="8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0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left" vertical="center"/>
    </xf>
    <xf numFmtId="0" fontId="3" fillId="4" borderId="23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2" fontId="8" fillId="3" borderId="19" xfId="0" applyNumberFormat="1" applyFont="1" applyFill="1" applyBorder="1" applyAlignment="1">
      <alignment horizontal="left" vertical="top"/>
    </xf>
    <xf numFmtId="2" fontId="8" fillId="3" borderId="9" xfId="0" applyNumberFormat="1" applyFont="1" applyFill="1" applyBorder="1" applyAlignment="1">
      <alignment horizontal="left" vertical="top"/>
    </xf>
    <xf numFmtId="164" fontId="3" fillId="2" borderId="40" xfId="0" applyNumberFormat="1" applyFont="1" applyFill="1" applyBorder="1" applyAlignment="1">
      <alignment horizontal="center" vertical="center"/>
    </xf>
    <xf numFmtId="164" fontId="3" fillId="2" borderId="34" xfId="0" applyNumberFormat="1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left" vertical="center"/>
    </xf>
    <xf numFmtId="0" fontId="8" fillId="4" borderId="28" xfId="0" applyFont="1" applyFill="1" applyBorder="1" applyAlignment="1">
      <alignment horizontal="left" vertical="center"/>
    </xf>
    <xf numFmtId="2" fontId="8" fillId="3" borderId="48" xfId="0" applyNumberFormat="1" applyFont="1" applyFill="1" applyBorder="1" applyAlignment="1">
      <alignment horizontal="left" vertical="center"/>
    </xf>
    <xf numFmtId="2" fontId="8" fillId="3" borderId="43" xfId="0" applyNumberFormat="1" applyFont="1" applyFill="1" applyBorder="1" applyAlignment="1">
      <alignment horizontal="left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left" vertical="top"/>
    </xf>
    <xf numFmtId="0" fontId="3" fillId="4" borderId="35" xfId="0" applyFont="1" applyFill="1" applyBorder="1" applyAlignment="1">
      <alignment horizontal="left" vertical="top"/>
    </xf>
    <xf numFmtId="0" fontId="3" fillId="2" borderId="32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2" fontId="8" fillId="3" borderId="30" xfId="0" applyNumberFormat="1" applyFont="1" applyFill="1" applyBorder="1" applyAlignment="1">
      <alignment horizontal="left" vertical="top"/>
    </xf>
    <xf numFmtId="2" fontId="8" fillId="3" borderId="35" xfId="0" applyNumberFormat="1" applyFont="1" applyFill="1" applyBorder="1" applyAlignment="1">
      <alignment horizontal="left" vertical="top"/>
    </xf>
    <xf numFmtId="0" fontId="7" fillId="3" borderId="36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2" fontId="8" fillId="3" borderId="19" xfId="0" applyNumberFormat="1" applyFont="1" applyFill="1" applyBorder="1" applyAlignment="1">
      <alignment horizontal="left" vertical="center"/>
    </xf>
    <xf numFmtId="2" fontId="8" fillId="3" borderId="9" xfId="0" applyNumberFormat="1" applyFont="1" applyFill="1" applyBorder="1" applyAlignment="1">
      <alignment horizontal="left" vertical="center"/>
    </xf>
    <xf numFmtId="2" fontId="8" fillId="3" borderId="30" xfId="0" applyNumberFormat="1" applyFont="1" applyFill="1" applyBorder="1" applyAlignment="1">
      <alignment horizontal="left" vertical="center"/>
    </xf>
    <xf numFmtId="2" fontId="8" fillId="3" borderId="35" xfId="0" applyNumberFormat="1" applyFont="1" applyFill="1" applyBorder="1" applyAlignment="1">
      <alignment horizontal="left" vertical="center"/>
    </xf>
    <xf numFmtId="0" fontId="4" fillId="9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275775</xdr:colOff>
      <xdr:row>40</xdr:row>
      <xdr:rowOff>123872</xdr:rowOff>
    </xdr:from>
    <xdr:to>
      <xdr:col>3</xdr:col>
      <xdr:colOff>213826</xdr:colOff>
      <xdr:row>46</xdr:row>
      <xdr:rowOff>262424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91999" y="12428617"/>
          <a:ext cx="1016904" cy="8577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230851</xdr:colOff>
      <xdr:row>40</xdr:row>
      <xdr:rowOff>17501</xdr:rowOff>
    </xdr:from>
    <xdr:to>
      <xdr:col>14</xdr:col>
      <xdr:colOff>495214</xdr:colOff>
      <xdr:row>46</xdr:row>
      <xdr:rowOff>320742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621973" y="12322246"/>
          <a:ext cx="1022476" cy="1022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122</xdr:row>
      <xdr:rowOff>0</xdr:rowOff>
    </xdr:from>
    <xdr:to>
      <xdr:col>2</xdr:col>
      <xdr:colOff>1035401</xdr:colOff>
      <xdr:row>126</xdr:row>
      <xdr:rowOff>123823</xdr:rowOff>
    </xdr:to>
    <xdr:pic>
      <xdr:nvPicPr>
        <xdr:cNvPr id="5" name="Picture 4" descr="C:\Users\DELL\Desktop\nepal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10001250"/>
          <a:ext cx="98107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133350</xdr:colOff>
      <xdr:row>122</xdr:row>
      <xdr:rowOff>0</xdr:rowOff>
    </xdr:from>
    <xdr:to>
      <xdr:col>14</xdr:col>
      <xdr:colOff>434128</xdr:colOff>
      <xdr:row>126</xdr:row>
      <xdr:rowOff>57148</xdr:rowOff>
    </xdr:to>
    <xdr:pic>
      <xdr:nvPicPr>
        <xdr:cNvPr id="6" name="Picture 5" descr="D:\Personal\ssf logo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010650" y="10039350"/>
          <a:ext cx="1058545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104775</xdr:colOff>
      <xdr:row>122</xdr:row>
      <xdr:rowOff>0</xdr:rowOff>
    </xdr:from>
    <xdr:ext cx="981075" cy="885825"/>
    <xdr:pic>
      <xdr:nvPicPr>
        <xdr:cNvPr id="8" name="Picture 7" descr="C:\Users\DELL\Desktop\nepal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10010775"/>
          <a:ext cx="981075" cy="885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13</xdr:col>
      <xdr:colOff>133350</xdr:colOff>
      <xdr:row>122</xdr:row>
      <xdr:rowOff>0</xdr:rowOff>
    </xdr:from>
    <xdr:ext cx="1058545" cy="819150"/>
    <xdr:pic>
      <xdr:nvPicPr>
        <xdr:cNvPr id="9" name="Picture 8" descr="D:\Personal\ssf logo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010650" y="10048875"/>
          <a:ext cx="1058545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</xdr:col>
      <xdr:colOff>0</xdr:colOff>
      <xdr:row>18</xdr:row>
      <xdr:rowOff>0</xdr:rowOff>
    </xdr:from>
    <xdr:to>
      <xdr:col>2</xdr:col>
      <xdr:colOff>791633</xdr:colOff>
      <xdr:row>18</xdr:row>
      <xdr:rowOff>141112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587500" y="6611056"/>
          <a:ext cx="791633" cy="141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242984</xdr:colOff>
      <xdr:row>44</xdr:row>
      <xdr:rowOff>97193</xdr:rowOff>
    </xdr:from>
    <xdr:to>
      <xdr:col>10</xdr:col>
      <xdr:colOff>77755</xdr:colOff>
      <xdr:row>44</xdr:row>
      <xdr:rowOff>97193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B429826-C92B-4EB1-82DF-1FAE4BD108DC}"/>
            </a:ext>
          </a:extLst>
        </xdr:cNvPr>
        <xdr:cNvCxnSpPr/>
      </xdr:nvCxnSpPr>
      <xdr:spPr>
        <a:xfrm>
          <a:off x="5540050" y="12926785"/>
          <a:ext cx="3469822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tabSelected="1" topLeftCell="B40" zoomScale="98" zoomScaleNormal="98" workbookViewId="0">
      <selection activeCell="C46" sqref="C46:O47"/>
    </sheetView>
  </sheetViews>
  <sheetFormatPr defaultRowHeight="15" x14ac:dyDescent="0.25"/>
  <cols>
    <col min="1" max="1" width="14.5703125" customWidth="1"/>
    <col min="2" max="2" width="8.140625" customWidth="1"/>
    <col min="3" max="3" width="16.140625" bestFit="1" customWidth="1"/>
    <col min="5" max="5" width="10.5703125" customWidth="1"/>
    <col min="6" max="6" width="20.7109375" customWidth="1"/>
    <col min="7" max="7" width="17.85546875" customWidth="1"/>
    <col min="8" max="8" width="12.42578125" customWidth="1"/>
    <col min="9" max="9" width="12.85546875" customWidth="1"/>
    <col min="10" max="10" width="11.42578125" customWidth="1"/>
    <col min="11" max="11" width="10.85546875" customWidth="1"/>
    <col min="12" max="12" width="12.42578125" bestFit="1" customWidth="1"/>
    <col min="13" max="13" width="13.7109375" customWidth="1"/>
    <col min="14" max="14" width="11.42578125" customWidth="1"/>
    <col min="15" max="15" width="12.28515625" bestFit="1" customWidth="1"/>
    <col min="22" max="22" width="36.42578125" customWidth="1"/>
    <col min="23" max="23" width="19" bestFit="1" customWidth="1"/>
    <col min="24" max="24" width="13.140625" bestFit="1" customWidth="1"/>
    <col min="25" max="25" width="18.7109375" customWidth="1"/>
    <col min="26" max="26" width="15.85546875" customWidth="1"/>
    <col min="27" max="27" width="15.7109375" customWidth="1"/>
  </cols>
  <sheetData>
    <row r="1" spans="1:27" ht="60.75" thickBot="1" x14ac:dyDescent="0.3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4"/>
      <c r="K1" s="22" t="s">
        <v>3</v>
      </c>
      <c r="L1" s="22" t="s">
        <v>4</v>
      </c>
      <c r="M1" s="22" t="s">
        <v>5</v>
      </c>
      <c r="N1" s="22" t="s">
        <v>6</v>
      </c>
      <c r="O1" s="22" t="s">
        <v>7</v>
      </c>
      <c r="P1" s="22" t="s">
        <v>8</v>
      </c>
      <c r="Q1" s="22" t="s">
        <v>21</v>
      </c>
      <c r="R1" s="22" t="s">
        <v>9</v>
      </c>
      <c r="S1" s="22" t="s">
        <v>10</v>
      </c>
      <c r="T1" s="22" t="s">
        <v>11</v>
      </c>
      <c r="V1" s="61" t="s">
        <v>3</v>
      </c>
      <c r="W1" s="61" t="s">
        <v>38</v>
      </c>
      <c r="X1" s="61" t="s">
        <v>1</v>
      </c>
      <c r="Y1" s="61" t="s">
        <v>2</v>
      </c>
    </row>
    <row r="2" spans="1:27" ht="18.600000000000001" customHeight="1" thickBot="1" x14ac:dyDescent="0.3">
      <c r="A2" s="5" t="s">
        <v>1</v>
      </c>
      <c r="B2">
        <f>SUM(M2:M4)</f>
        <v>2568</v>
      </c>
      <c r="C2">
        <f>SUM(N2:N4)</f>
        <v>1298</v>
      </c>
      <c r="D2">
        <f>SUM(O2:O4)+L3</f>
        <v>15346</v>
      </c>
      <c r="E2">
        <f>SUM(P2:P4)</f>
        <v>1294</v>
      </c>
      <c r="F2">
        <f t="shared" ref="F2:H2" si="0">SUM(Q2:Q4)</f>
        <v>2010</v>
      </c>
      <c r="G2">
        <f t="shared" si="0"/>
        <v>314</v>
      </c>
      <c r="H2">
        <f t="shared" si="0"/>
        <v>379</v>
      </c>
      <c r="I2" s="6">
        <f>SUM(B2:H2)</f>
        <v>23209</v>
      </c>
      <c r="K2" s="23" t="s">
        <v>12</v>
      </c>
      <c r="L2" s="23">
        <v>0</v>
      </c>
      <c r="M2" s="23">
        <v>2085</v>
      </c>
      <c r="N2" s="23">
        <v>989</v>
      </c>
      <c r="O2" s="23">
        <v>11287</v>
      </c>
      <c r="P2" s="23">
        <v>1037</v>
      </c>
      <c r="Q2" s="23">
        <v>1590</v>
      </c>
      <c r="R2" s="23">
        <v>209</v>
      </c>
      <c r="S2" s="23">
        <v>272</v>
      </c>
      <c r="T2" s="23">
        <v>17469</v>
      </c>
      <c r="V2" s="22" t="s">
        <v>68</v>
      </c>
      <c r="W2" s="22">
        <v>104256253747.74001</v>
      </c>
      <c r="X2" s="22">
        <v>8574</v>
      </c>
      <c r="Y2" s="22">
        <v>2635141</v>
      </c>
    </row>
    <row r="3" spans="1:27" ht="43.5" customHeight="1" thickBot="1" x14ac:dyDescent="0.3">
      <c r="A3" s="5" t="s">
        <v>2</v>
      </c>
      <c r="B3">
        <f>SUM(M6:M9)</f>
        <v>77505</v>
      </c>
      <c r="C3">
        <f t="shared" ref="C3:H3" si="1">SUM(N6:N9)</f>
        <v>33438</v>
      </c>
      <c r="D3">
        <f t="shared" si="1"/>
        <v>509465</v>
      </c>
      <c r="E3">
        <f t="shared" si="1"/>
        <v>30040</v>
      </c>
      <c r="F3">
        <f t="shared" si="1"/>
        <v>27766</v>
      </c>
      <c r="G3">
        <f t="shared" si="1"/>
        <v>3041</v>
      </c>
      <c r="H3">
        <f t="shared" si="1"/>
        <v>4623</v>
      </c>
      <c r="I3" s="6">
        <f>SUM(T6:T14)</f>
        <v>2853168</v>
      </c>
      <c r="K3" s="24" t="s">
        <v>13</v>
      </c>
      <c r="L3" s="24">
        <v>2263</v>
      </c>
      <c r="M3" s="24">
        <v>482</v>
      </c>
      <c r="N3" s="24">
        <v>308</v>
      </c>
      <c r="O3" s="24">
        <v>1774</v>
      </c>
      <c r="P3" s="24">
        <v>255</v>
      </c>
      <c r="Q3" s="24">
        <v>413</v>
      </c>
      <c r="R3" s="24">
        <v>105</v>
      </c>
      <c r="S3" s="24">
        <v>107</v>
      </c>
      <c r="T3" s="24">
        <v>5707</v>
      </c>
      <c r="V3" s="62" t="s">
        <v>39</v>
      </c>
      <c r="W3" s="62">
        <v>104319652379.27</v>
      </c>
      <c r="X3" s="62">
        <v>8582</v>
      </c>
      <c r="Y3" s="62">
        <v>2636185</v>
      </c>
    </row>
    <row r="4" spans="1:27" ht="57.75" customHeight="1" thickBot="1" x14ac:dyDescent="0.3">
      <c r="A4" s="5"/>
      <c r="B4">
        <v>1860</v>
      </c>
      <c r="C4">
        <v>551</v>
      </c>
      <c r="D4">
        <v>8997</v>
      </c>
      <c r="E4">
        <v>608</v>
      </c>
      <c r="F4">
        <v>974</v>
      </c>
      <c r="G4">
        <v>137</v>
      </c>
      <c r="H4">
        <v>156</v>
      </c>
      <c r="I4" s="6">
        <v>13283</v>
      </c>
      <c r="K4" s="23" t="s">
        <v>14</v>
      </c>
      <c r="L4" s="23">
        <v>0</v>
      </c>
      <c r="M4" s="23">
        <v>1</v>
      </c>
      <c r="N4" s="23">
        <v>1</v>
      </c>
      <c r="O4" s="23">
        <v>22</v>
      </c>
      <c r="P4" s="23">
        <v>2</v>
      </c>
      <c r="Q4" s="23">
        <v>7</v>
      </c>
      <c r="R4" s="23">
        <v>0</v>
      </c>
      <c r="S4" s="23">
        <v>0</v>
      </c>
      <c r="T4" s="23">
        <v>33</v>
      </c>
      <c r="V4" s="22" t="s">
        <v>40</v>
      </c>
      <c r="W4" s="22">
        <v>39.24</v>
      </c>
      <c r="X4" s="22">
        <v>0</v>
      </c>
      <c r="Y4" s="22">
        <v>0</v>
      </c>
    </row>
    <row r="5" spans="1:27" ht="45.75" customHeight="1" thickBot="1" x14ac:dyDescent="0.3">
      <c r="A5" s="7"/>
      <c r="B5" s="8">
        <v>19622</v>
      </c>
      <c r="C5" s="8">
        <v>13722</v>
      </c>
      <c r="D5" s="8">
        <v>142141</v>
      </c>
      <c r="E5" s="8">
        <v>7094</v>
      </c>
      <c r="F5" s="8">
        <v>6182</v>
      </c>
      <c r="G5" s="8">
        <v>461</v>
      </c>
      <c r="H5" s="8">
        <v>699</v>
      </c>
      <c r="I5" s="9">
        <v>189921</v>
      </c>
      <c r="K5" s="22" t="s">
        <v>19</v>
      </c>
      <c r="L5" s="22">
        <v>2263</v>
      </c>
      <c r="M5" s="22">
        <v>2568</v>
      </c>
      <c r="N5" s="22">
        <v>1298</v>
      </c>
      <c r="O5" s="22">
        <v>13083</v>
      </c>
      <c r="P5" s="22">
        <v>1294</v>
      </c>
      <c r="Q5" s="22">
        <v>2010</v>
      </c>
      <c r="R5" s="22">
        <v>314</v>
      </c>
      <c r="S5" s="22">
        <v>379</v>
      </c>
      <c r="T5" s="22">
        <v>23209</v>
      </c>
      <c r="V5" s="23" t="s">
        <v>41</v>
      </c>
      <c r="W5" s="23">
        <v>63516043.530000001</v>
      </c>
      <c r="X5" s="23">
        <v>252</v>
      </c>
      <c r="Y5" s="23">
        <v>8072</v>
      </c>
    </row>
    <row r="6" spans="1:27" ht="57.75" customHeight="1" thickBot="1" x14ac:dyDescent="0.3">
      <c r="A6" s="5" t="s">
        <v>50</v>
      </c>
      <c r="C6" s="10">
        <f>VALUE(W3)</f>
        <v>104319652379.27</v>
      </c>
      <c r="E6" s="2"/>
      <c r="F6" s="17" t="s">
        <v>97</v>
      </c>
      <c r="G6" s="17" t="s">
        <v>98</v>
      </c>
      <c r="H6" s="18" t="s">
        <v>99</v>
      </c>
      <c r="I6" s="6"/>
      <c r="K6" s="23" t="s">
        <v>15</v>
      </c>
      <c r="L6" s="23">
        <v>0</v>
      </c>
      <c r="M6" s="23">
        <v>55362</v>
      </c>
      <c r="N6" s="23">
        <v>21944</v>
      </c>
      <c r="O6" s="23">
        <v>272683</v>
      </c>
      <c r="P6" s="23">
        <v>18813</v>
      </c>
      <c r="Q6" s="23">
        <v>18691</v>
      </c>
      <c r="R6" s="23">
        <v>2067</v>
      </c>
      <c r="S6" s="23">
        <v>3058</v>
      </c>
      <c r="T6" s="23">
        <v>392618</v>
      </c>
      <c r="V6" s="24" t="s">
        <v>42</v>
      </c>
      <c r="W6" s="24">
        <v>2988491910.1100001</v>
      </c>
      <c r="X6" s="24">
        <v>0</v>
      </c>
      <c r="Y6" s="24">
        <v>0</v>
      </c>
    </row>
    <row r="7" spans="1:27" ht="21.95" customHeight="1" thickBot="1" x14ac:dyDescent="0.3">
      <c r="B7">
        <f>ROUNDDOWN(C6/1000000000,0)</f>
        <v>104</v>
      </c>
      <c r="C7" t="s">
        <v>51</v>
      </c>
      <c r="E7" s="5"/>
      <c r="F7">
        <f>SUM(L10:S10)+SUM(L11:S11)+SUM(L12:S12)</f>
        <v>2165547</v>
      </c>
      <c r="G7">
        <f>SUM(L13:S13)</f>
        <v>911</v>
      </c>
      <c r="H7" s="6">
        <f>SUM(L14:S14)</f>
        <v>832</v>
      </c>
      <c r="K7" s="24" t="s">
        <v>16</v>
      </c>
      <c r="L7" s="24">
        <v>0</v>
      </c>
      <c r="M7" s="24">
        <v>1105</v>
      </c>
      <c r="N7" s="24">
        <v>1074</v>
      </c>
      <c r="O7" s="24">
        <v>17239</v>
      </c>
      <c r="P7" s="24">
        <v>353</v>
      </c>
      <c r="Q7" s="24">
        <v>501</v>
      </c>
      <c r="R7" s="24">
        <v>83</v>
      </c>
      <c r="S7" s="24">
        <v>74</v>
      </c>
      <c r="T7" s="24">
        <v>20429</v>
      </c>
      <c r="V7" s="23" t="s">
        <v>43</v>
      </c>
      <c r="W7" s="23">
        <v>3571594215.7199998</v>
      </c>
      <c r="X7" s="23">
        <v>0</v>
      </c>
      <c r="Y7" s="23">
        <v>0</v>
      </c>
    </row>
    <row r="8" spans="1:27" ht="24.6" customHeight="1" thickBot="1" x14ac:dyDescent="0.3">
      <c r="B8">
        <f>ROUNDDOWN((C6-B7*1000000000)/10000000,0)</f>
        <v>31</v>
      </c>
      <c r="C8" t="s">
        <v>52</v>
      </c>
      <c r="E8" s="5"/>
      <c r="F8">
        <f>T10+T11+T12</f>
        <v>2165547</v>
      </c>
      <c r="G8">
        <f>T13</f>
        <v>911</v>
      </c>
      <c r="H8" s="6">
        <f>T14</f>
        <v>832</v>
      </c>
      <c r="K8" s="23" t="s">
        <v>17</v>
      </c>
      <c r="L8" s="23">
        <v>0</v>
      </c>
      <c r="M8" s="23">
        <v>410</v>
      </c>
      <c r="N8" s="23">
        <v>222</v>
      </c>
      <c r="O8" s="23">
        <v>4271</v>
      </c>
      <c r="P8" s="23">
        <v>124</v>
      </c>
      <c r="Q8" s="23">
        <v>178</v>
      </c>
      <c r="R8" s="23">
        <v>21</v>
      </c>
      <c r="S8" s="23">
        <v>12</v>
      </c>
      <c r="T8" s="23">
        <v>5238</v>
      </c>
      <c r="V8" s="24" t="s">
        <v>44</v>
      </c>
      <c r="W8" s="24">
        <v>1047631422.88</v>
      </c>
      <c r="X8" s="24">
        <v>0</v>
      </c>
      <c r="Y8" s="24">
        <v>0</v>
      </c>
    </row>
    <row r="9" spans="1:27" ht="57.75" customHeight="1" thickBot="1" x14ac:dyDescent="0.3">
      <c r="A9" t="s">
        <v>118</v>
      </c>
      <c r="C9">
        <f>SUM(W6:W33)</f>
        <v>104305978436.25999</v>
      </c>
      <c r="E9" s="7" t="s">
        <v>100</v>
      </c>
      <c r="F9" s="8">
        <f>IF(F7=F8,F8,"Error")</f>
        <v>2165547</v>
      </c>
      <c r="G9" s="8">
        <f t="shared" ref="G9:H9" si="2">IF(G7=G8,G8,"Error")</f>
        <v>911</v>
      </c>
      <c r="H9" s="9">
        <f t="shared" si="2"/>
        <v>832</v>
      </c>
      <c r="K9" s="24" t="s">
        <v>18</v>
      </c>
      <c r="L9" s="24">
        <v>0</v>
      </c>
      <c r="M9" s="24">
        <v>20628</v>
      </c>
      <c r="N9" s="24">
        <v>10198</v>
      </c>
      <c r="O9" s="24">
        <v>215272</v>
      </c>
      <c r="P9" s="24">
        <v>10750</v>
      </c>
      <c r="Q9" s="24">
        <v>8396</v>
      </c>
      <c r="R9" s="24">
        <v>870</v>
      </c>
      <c r="S9" s="24">
        <v>1479</v>
      </c>
      <c r="T9" s="24">
        <v>267593</v>
      </c>
      <c r="V9" s="23" t="s">
        <v>45</v>
      </c>
      <c r="W9" s="23">
        <v>57060724840.239998</v>
      </c>
      <c r="X9" s="23">
        <v>0</v>
      </c>
      <c r="Y9" s="23">
        <v>0</v>
      </c>
    </row>
    <row r="10" spans="1:27" ht="39" customHeight="1" thickBot="1" x14ac:dyDescent="0.3">
      <c r="A10" t="s">
        <v>53</v>
      </c>
      <c r="C10">
        <f>SUM(N55:O58)</f>
        <v>19266935932.610001</v>
      </c>
      <c r="K10" s="23" t="s">
        <v>86</v>
      </c>
      <c r="L10" s="23">
        <v>2041473</v>
      </c>
      <c r="M10" s="23">
        <v>30082</v>
      </c>
      <c r="N10" s="23">
        <v>39347</v>
      </c>
      <c r="O10" s="23">
        <v>11736</v>
      </c>
      <c r="P10" s="23">
        <v>13317</v>
      </c>
      <c r="Q10" s="23">
        <v>19558</v>
      </c>
      <c r="R10" s="23">
        <v>2726</v>
      </c>
      <c r="S10" s="23">
        <v>3352</v>
      </c>
      <c r="T10" s="23">
        <v>2161591</v>
      </c>
      <c r="V10" s="24" t="s">
        <v>58</v>
      </c>
      <c r="W10" s="24">
        <v>23302215283.189999</v>
      </c>
      <c r="X10" s="24">
        <v>0</v>
      </c>
      <c r="Y10" s="24">
        <v>0</v>
      </c>
    </row>
    <row r="11" spans="1:27" ht="20.100000000000001" customHeight="1" thickBot="1" x14ac:dyDescent="0.3">
      <c r="B11">
        <f>ROUNDDOWN(C10/1000000000,0)</f>
        <v>19</v>
      </c>
      <c r="C11" t="s">
        <v>51</v>
      </c>
      <c r="K11" s="24" t="s">
        <v>87</v>
      </c>
      <c r="L11" s="24">
        <v>57</v>
      </c>
      <c r="M11" s="24">
        <v>980</v>
      </c>
      <c r="N11" s="24">
        <v>378</v>
      </c>
      <c r="O11" s="24">
        <v>934</v>
      </c>
      <c r="P11" s="24">
        <v>718</v>
      </c>
      <c r="Q11" s="24">
        <v>622</v>
      </c>
      <c r="R11" s="24">
        <v>57</v>
      </c>
      <c r="S11" s="24">
        <v>156</v>
      </c>
      <c r="T11" s="24">
        <v>3902</v>
      </c>
      <c r="V11" s="23" t="s">
        <v>67</v>
      </c>
      <c r="W11" s="23">
        <v>45884950.409999996</v>
      </c>
      <c r="X11" s="23">
        <v>0</v>
      </c>
      <c r="Y11" s="23">
        <v>0</v>
      </c>
      <c r="AA11">
        <f>W11+W12+W13+W14+W18+W19+W20</f>
        <v>4649685935.1799994</v>
      </c>
    </row>
    <row r="12" spans="1:27" ht="24.6" customHeight="1" thickBot="1" x14ac:dyDescent="0.3">
      <c r="B12">
        <f>ROUNDDOWN((C10-B11*1000000000)/10000000,0)</f>
        <v>26</v>
      </c>
      <c r="C12" t="s">
        <v>52</v>
      </c>
      <c r="K12" s="23" t="s">
        <v>88</v>
      </c>
      <c r="L12" s="23">
        <v>2</v>
      </c>
      <c r="M12" s="23">
        <v>11</v>
      </c>
      <c r="N12" s="23">
        <v>8</v>
      </c>
      <c r="O12" s="23">
        <v>14</v>
      </c>
      <c r="P12" s="23">
        <v>8</v>
      </c>
      <c r="Q12" s="23">
        <v>8</v>
      </c>
      <c r="R12" s="23">
        <v>3</v>
      </c>
      <c r="S12" s="23">
        <v>0</v>
      </c>
      <c r="T12" s="23">
        <v>54</v>
      </c>
      <c r="V12" s="24" t="s">
        <v>59</v>
      </c>
      <c r="W12" s="24">
        <v>1330632014.1099999</v>
      </c>
      <c r="X12" s="24">
        <v>0</v>
      </c>
      <c r="Y12" s="24">
        <v>0</v>
      </c>
    </row>
    <row r="13" spans="1:27" ht="21.95" customHeight="1" thickBot="1" x14ac:dyDescent="0.3">
      <c r="K13" s="24" t="s">
        <v>89</v>
      </c>
      <c r="L13" s="24">
        <v>3</v>
      </c>
      <c r="M13" s="24">
        <v>51</v>
      </c>
      <c r="N13" s="24">
        <v>11</v>
      </c>
      <c r="O13" s="24">
        <v>410</v>
      </c>
      <c r="P13" s="24">
        <v>186</v>
      </c>
      <c r="Q13" s="24">
        <v>238</v>
      </c>
      <c r="R13" s="24">
        <v>7</v>
      </c>
      <c r="S13" s="24">
        <v>5</v>
      </c>
      <c r="T13" s="24">
        <v>911</v>
      </c>
      <c r="V13" s="23" t="s">
        <v>60</v>
      </c>
      <c r="W13" s="23">
        <v>503162685.02999997</v>
      </c>
      <c r="X13" s="23">
        <v>0</v>
      </c>
      <c r="Y13" s="23">
        <v>0</v>
      </c>
    </row>
    <row r="14" spans="1:27" ht="24" customHeight="1" thickBot="1" x14ac:dyDescent="0.3">
      <c r="F14" t="s">
        <v>126</v>
      </c>
      <c r="G14" s="60">
        <v>0</v>
      </c>
      <c r="K14" s="23" t="s">
        <v>90</v>
      </c>
      <c r="L14" s="23">
        <v>1</v>
      </c>
      <c r="M14" s="23">
        <v>143</v>
      </c>
      <c r="N14" s="23">
        <v>87</v>
      </c>
      <c r="O14" s="23">
        <v>300</v>
      </c>
      <c r="P14" s="23">
        <v>109</v>
      </c>
      <c r="Q14" s="23">
        <v>124</v>
      </c>
      <c r="R14" s="23">
        <v>26</v>
      </c>
      <c r="S14" s="23">
        <v>42</v>
      </c>
      <c r="T14" s="23">
        <v>832</v>
      </c>
      <c r="V14" s="24" t="s">
        <v>69</v>
      </c>
      <c r="W14" s="24">
        <v>2748172768.5799999</v>
      </c>
      <c r="X14" s="24">
        <v>0</v>
      </c>
      <c r="Y14" s="24">
        <v>0</v>
      </c>
    </row>
    <row r="15" spans="1:27" ht="21" customHeight="1" thickBot="1" x14ac:dyDescent="0.3">
      <c r="K15" s="22" t="s">
        <v>20</v>
      </c>
      <c r="L15" s="22">
        <v>2041536</v>
      </c>
      <c r="M15" s="22">
        <v>108772</v>
      </c>
      <c r="N15" s="22">
        <v>73269</v>
      </c>
      <c r="O15" s="22">
        <v>522859</v>
      </c>
      <c r="P15" s="22">
        <v>44378</v>
      </c>
      <c r="Q15" s="22">
        <v>48316</v>
      </c>
      <c r="R15" s="22">
        <v>5860</v>
      </c>
      <c r="S15" s="22">
        <v>8178</v>
      </c>
      <c r="T15" s="22">
        <v>2853168</v>
      </c>
      <c r="V15" s="23" t="s">
        <v>122</v>
      </c>
      <c r="W15" s="23">
        <v>1934212756.5599999</v>
      </c>
      <c r="X15" s="23">
        <v>0</v>
      </c>
      <c r="Y15" s="23">
        <v>0</v>
      </c>
      <c r="Z15" t="s">
        <v>109</v>
      </c>
      <c r="AA15">
        <v>1229835457.1499999</v>
      </c>
    </row>
    <row r="16" spans="1:27" ht="29.25" thickBot="1" x14ac:dyDescent="0.3">
      <c r="V16" s="24" t="s">
        <v>91</v>
      </c>
      <c r="W16" s="24">
        <v>3595758487.75</v>
      </c>
      <c r="X16" s="24">
        <v>0</v>
      </c>
      <c r="Y16" s="24">
        <v>0</v>
      </c>
      <c r="Z16" t="s">
        <v>109</v>
      </c>
      <c r="AA16">
        <v>2301927616.3600001</v>
      </c>
    </row>
    <row r="17" spans="1:27" ht="15" customHeight="1" thickBot="1" x14ac:dyDescent="0.3">
      <c r="V17" s="23" t="s">
        <v>92</v>
      </c>
      <c r="W17" s="23">
        <v>53663608</v>
      </c>
      <c r="X17" s="23">
        <v>0</v>
      </c>
      <c r="Y17" s="23">
        <v>0</v>
      </c>
      <c r="Z17" t="s">
        <v>109</v>
      </c>
      <c r="AA17">
        <v>2175229205.2800002</v>
      </c>
    </row>
    <row r="18" spans="1:27" ht="25.5" customHeight="1" thickBot="1" x14ac:dyDescent="0.3">
      <c r="A18" t="s">
        <v>28</v>
      </c>
      <c r="V18" s="24" t="s">
        <v>123</v>
      </c>
      <c r="W18" s="24">
        <v>10921298.34</v>
      </c>
      <c r="X18" s="24">
        <v>0</v>
      </c>
      <c r="Y18" s="24">
        <v>0</v>
      </c>
      <c r="Z18" t="s">
        <v>110</v>
      </c>
      <c r="AA18">
        <v>35429159175.850006</v>
      </c>
    </row>
    <row r="19" spans="1:27" ht="23.1" customHeight="1" thickBot="1" x14ac:dyDescent="0.3">
      <c r="A19" t="s">
        <v>29</v>
      </c>
      <c r="V19" s="23" t="s">
        <v>102</v>
      </c>
      <c r="W19" s="23">
        <v>10570416.48</v>
      </c>
      <c r="X19" s="23">
        <v>0</v>
      </c>
      <c r="Y19" s="23">
        <v>0</v>
      </c>
      <c r="Z19" t="s">
        <v>110</v>
      </c>
      <c r="AA19">
        <v>1502511465.9999998</v>
      </c>
    </row>
    <row r="20" spans="1:27" ht="21" customHeight="1" thickBot="1" x14ac:dyDescent="0.3">
      <c r="V20" s="24" t="s">
        <v>113</v>
      </c>
      <c r="W20" s="24">
        <v>341802.23</v>
      </c>
      <c r="X20" s="24">
        <v>0</v>
      </c>
      <c r="Y20" s="24">
        <v>0</v>
      </c>
      <c r="Z20" t="s">
        <v>111</v>
      </c>
      <c r="AA20">
        <v>3120303.96</v>
      </c>
    </row>
    <row r="21" spans="1:27" ht="21" customHeight="1" thickBot="1" x14ac:dyDescent="0.3">
      <c r="V21" s="23" t="s">
        <v>124</v>
      </c>
      <c r="W21" s="23">
        <v>1354529.83</v>
      </c>
      <c r="X21" s="23">
        <v>0</v>
      </c>
      <c r="Y21" s="23">
        <v>0</v>
      </c>
      <c r="Z21" t="s">
        <v>111</v>
      </c>
      <c r="AA21">
        <v>9063.85</v>
      </c>
    </row>
    <row r="22" spans="1:27" ht="21.95" customHeight="1" thickBot="1" x14ac:dyDescent="0.3">
      <c r="V22" s="24" t="s">
        <v>103</v>
      </c>
      <c r="W22" s="24">
        <v>538603.39</v>
      </c>
      <c r="X22" s="24">
        <v>0</v>
      </c>
      <c r="Y22" s="24">
        <v>0</v>
      </c>
      <c r="Z22" t="s">
        <v>111</v>
      </c>
    </row>
    <row r="23" spans="1:27" ht="14.45" customHeight="1" thickBot="1" x14ac:dyDescent="0.3">
      <c r="V23" s="23" t="s">
        <v>104</v>
      </c>
      <c r="W23" s="23">
        <v>979509.4</v>
      </c>
      <c r="X23" s="23">
        <v>0</v>
      </c>
      <c r="Y23" s="23">
        <v>0</v>
      </c>
      <c r="Z23" t="s">
        <v>111</v>
      </c>
    </row>
    <row r="24" spans="1:27" ht="14.45" customHeight="1" thickBot="1" x14ac:dyDescent="0.3">
      <c r="V24" s="24" t="s">
        <v>105</v>
      </c>
      <c r="W24" s="24">
        <v>13041181.439999999</v>
      </c>
      <c r="X24" s="24">
        <v>0</v>
      </c>
      <c r="Y24" s="24">
        <v>0</v>
      </c>
      <c r="Z24" t="s">
        <v>111</v>
      </c>
    </row>
    <row r="25" spans="1:27" ht="14.45" customHeight="1" thickBot="1" x14ac:dyDescent="0.3">
      <c r="V25" s="23" t="s">
        <v>120</v>
      </c>
      <c r="W25" s="23">
        <v>1882477.38</v>
      </c>
      <c r="X25" s="23">
        <v>0</v>
      </c>
      <c r="Y25" s="23">
        <v>0</v>
      </c>
    </row>
    <row r="26" spans="1:27" ht="14.45" customHeight="1" thickBot="1" x14ac:dyDescent="0.3">
      <c r="V26" s="24" t="s">
        <v>121</v>
      </c>
      <c r="W26" s="24">
        <v>3278510.53</v>
      </c>
      <c r="X26" s="24">
        <v>0</v>
      </c>
      <c r="Y26" s="24">
        <v>0</v>
      </c>
    </row>
    <row r="27" spans="1:27" ht="14.45" customHeight="1" thickBot="1" x14ac:dyDescent="0.3">
      <c r="V27" s="23" t="s">
        <v>106</v>
      </c>
      <c r="W27" s="23">
        <v>5904743344.9099998</v>
      </c>
      <c r="X27" s="23">
        <v>0</v>
      </c>
      <c r="Y27" s="23">
        <v>0</v>
      </c>
      <c r="Z27">
        <v>26</v>
      </c>
    </row>
    <row r="28" spans="1:27" ht="14.45" customHeight="1" thickBot="1" x14ac:dyDescent="0.3">
      <c r="V28" s="24" t="s">
        <v>107</v>
      </c>
      <c r="W28" s="24">
        <v>174474090.86000001</v>
      </c>
      <c r="X28" s="24">
        <v>0</v>
      </c>
      <c r="Y28" s="24">
        <v>0</v>
      </c>
    </row>
    <row r="29" spans="1:27" ht="14.45" customHeight="1" thickBot="1" x14ac:dyDescent="0.3">
      <c r="V29" s="23" t="s">
        <v>108</v>
      </c>
      <c r="W29" s="23">
        <v>1314061.06</v>
      </c>
      <c r="X29" s="23">
        <v>0</v>
      </c>
      <c r="Y29" s="23">
        <v>0</v>
      </c>
    </row>
    <row r="30" spans="1:27" ht="14.45" customHeight="1" thickBot="1" x14ac:dyDescent="0.3">
      <c r="V30" s="24" t="s">
        <v>114</v>
      </c>
      <c r="W30" s="24">
        <v>153692.82999999999</v>
      </c>
      <c r="X30" s="24">
        <v>0</v>
      </c>
      <c r="Y30" s="24">
        <v>0</v>
      </c>
    </row>
    <row r="31" spans="1:27" ht="14.45" customHeight="1" thickBot="1" x14ac:dyDescent="0.3">
      <c r="V31" s="23" t="s">
        <v>115</v>
      </c>
      <c r="W31" s="23">
        <v>3794.3</v>
      </c>
      <c r="X31" s="23">
        <v>0</v>
      </c>
      <c r="Y31" s="23">
        <v>0</v>
      </c>
    </row>
    <row r="32" spans="1:27" ht="14.45" customHeight="1" thickBot="1" x14ac:dyDescent="0.3">
      <c r="V32" s="24" t="s">
        <v>116</v>
      </c>
      <c r="W32" s="24">
        <v>217273.39</v>
      </c>
      <c r="X32" s="24">
        <v>0</v>
      </c>
      <c r="Y32" s="24">
        <v>0</v>
      </c>
    </row>
    <row r="33" spans="1:27" ht="14.45" customHeight="1" thickBot="1" x14ac:dyDescent="0.3">
      <c r="V33" s="23" t="s">
        <v>117</v>
      </c>
      <c r="W33" s="23">
        <v>18907.310000000001</v>
      </c>
      <c r="X33" s="23">
        <v>0</v>
      </c>
      <c r="Y33" s="23">
        <v>0</v>
      </c>
    </row>
    <row r="34" spans="1:27" ht="14.45" customHeight="1" x14ac:dyDescent="0.25">
      <c r="V34" s="21"/>
      <c r="W34" s="21"/>
      <c r="X34" s="21"/>
      <c r="Y34" s="21"/>
      <c r="AA34" t="s">
        <v>119</v>
      </c>
    </row>
    <row r="35" spans="1:27" ht="14.45" customHeight="1" x14ac:dyDescent="0.25">
      <c r="V35" s="21"/>
      <c r="W35" s="21"/>
      <c r="X35" s="21"/>
      <c r="Y35" s="21"/>
    </row>
    <row r="36" spans="1:27" ht="15.75" thickBot="1" x14ac:dyDescent="0.3">
      <c r="A36" t="s">
        <v>30</v>
      </c>
    </row>
    <row r="37" spans="1:27" ht="30.75" thickBot="1" x14ac:dyDescent="0.3">
      <c r="V37" s="25" t="s">
        <v>46</v>
      </c>
      <c r="W37" s="25" t="s">
        <v>47</v>
      </c>
      <c r="X37" s="25" t="s">
        <v>49</v>
      </c>
      <c r="Y37" s="25" t="s">
        <v>48</v>
      </c>
      <c r="Z37" s="25" t="s">
        <v>61</v>
      </c>
      <c r="AA37" s="25" t="s">
        <v>66</v>
      </c>
    </row>
    <row r="38" spans="1:27" ht="16.5" thickTop="1" thickBot="1" x14ac:dyDescent="0.3">
      <c r="V38" s="24" t="s">
        <v>62</v>
      </c>
      <c r="W38" s="24">
        <v>136631</v>
      </c>
      <c r="X38" s="24">
        <v>869831</v>
      </c>
      <c r="Y38" s="24">
        <v>2908762161.6599998</v>
      </c>
      <c r="Z38" s="24">
        <v>2988491910.1100001</v>
      </c>
      <c r="AA38" s="24">
        <v>79729748.450000003</v>
      </c>
    </row>
    <row r="39" spans="1:27" ht="15.75" thickBot="1" x14ac:dyDescent="0.3">
      <c r="V39" s="23" t="s">
        <v>63</v>
      </c>
      <c r="W39" s="23">
        <v>7397</v>
      </c>
      <c r="X39" s="23">
        <v>13768</v>
      </c>
      <c r="Y39" s="23">
        <v>256171499.78999999</v>
      </c>
      <c r="Z39" s="23">
        <v>3571594215.7199998</v>
      </c>
      <c r="AA39" s="23">
        <v>3315422715.9299998</v>
      </c>
    </row>
    <row r="40" spans="1:27" ht="12" customHeight="1" thickBot="1" x14ac:dyDescent="0.3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V40" s="24" t="s">
        <v>64</v>
      </c>
      <c r="W40" s="24">
        <v>841</v>
      </c>
      <c r="X40" s="24">
        <v>35657</v>
      </c>
      <c r="Y40" s="24">
        <v>325575769.16000003</v>
      </c>
      <c r="Z40" s="24">
        <v>1047631422.88</v>
      </c>
      <c r="AA40" s="24">
        <v>722055653.72000003</v>
      </c>
    </row>
    <row r="41" spans="1:27" ht="12" customHeight="1" thickBot="1" x14ac:dyDescent="0.3">
      <c r="B41" s="11"/>
      <c r="C41" s="106" t="s">
        <v>22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8"/>
      <c r="P41" s="11"/>
      <c r="V41" s="23" t="s">
        <v>65</v>
      </c>
      <c r="W41" s="23">
        <v>129733</v>
      </c>
      <c r="X41" s="23">
        <v>139995</v>
      </c>
      <c r="Y41" s="23">
        <v>15776426502</v>
      </c>
      <c r="Z41" s="23">
        <v>90895535886.470001</v>
      </c>
      <c r="AA41" s="23">
        <v>75119109384.470001</v>
      </c>
    </row>
    <row r="42" spans="1:27" ht="12" customHeight="1" thickBot="1" x14ac:dyDescent="0.3">
      <c r="B42" s="11"/>
      <c r="C42" s="109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1"/>
      <c r="P42" s="11"/>
      <c r="V42" s="24" t="s">
        <v>122</v>
      </c>
      <c r="W42" s="24">
        <v>1609</v>
      </c>
      <c r="X42" s="24">
        <v>7280</v>
      </c>
      <c r="Y42" s="24">
        <v>21469246.920000002</v>
      </c>
      <c r="Z42" s="24">
        <v>0</v>
      </c>
      <c r="AA42" s="24">
        <v>-21469246.920000002</v>
      </c>
    </row>
    <row r="43" spans="1:27" ht="16.5" customHeight="1" thickBot="1" x14ac:dyDescent="0.3">
      <c r="B43" s="11"/>
      <c r="C43" s="109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1"/>
      <c r="P43" s="11"/>
      <c r="V43" s="23" t="s">
        <v>91</v>
      </c>
      <c r="W43" s="23">
        <v>116</v>
      </c>
      <c r="X43" s="23">
        <v>116</v>
      </c>
      <c r="Y43" s="23">
        <v>245820.33</v>
      </c>
      <c r="Z43" s="23">
        <v>0</v>
      </c>
      <c r="AA43" s="23">
        <v>-245820.33</v>
      </c>
    </row>
    <row r="44" spans="1:27" ht="5.25" hidden="1" customHeight="1" thickBot="1" x14ac:dyDescent="0.3">
      <c r="B44" s="11"/>
      <c r="C44" s="109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1"/>
      <c r="P44" s="11"/>
      <c r="V44" s="24" t="s">
        <v>123</v>
      </c>
      <c r="W44" s="24">
        <v>151</v>
      </c>
      <c r="X44" s="24">
        <v>515</v>
      </c>
      <c r="Y44" s="24">
        <v>1769349.72</v>
      </c>
      <c r="Z44" s="24">
        <v>0</v>
      </c>
      <c r="AA44" s="24">
        <v>-1769349.72</v>
      </c>
    </row>
    <row r="45" spans="1:27" ht="9" customHeight="1" thickBot="1" x14ac:dyDescent="0.3">
      <c r="B45" s="11"/>
      <c r="C45" s="109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1"/>
      <c r="P45" s="11"/>
      <c r="V45" s="23" t="s">
        <v>124</v>
      </c>
      <c r="W45" s="23">
        <v>127</v>
      </c>
      <c r="X45" s="23">
        <v>646</v>
      </c>
      <c r="Y45" s="23">
        <v>2051816.68</v>
      </c>
      <c r="Z45" s="23">
        <v>0</v>
      </c>
      <c r="AA45" s="23">
        <v>-2051816.68</v>
      </c>
    </row>
    <row r="46" spans="1:27" ht="6" customHeight="1" thickBot="1" x14ac:dyDescent="0.3">
      <c r="B46" s="11"/>
      <c r="C46" s="101" t="s">
        <v>127</v>
      </c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02"/>
      <c r="P46" s="11"/>
      <c r="V46" s="24" t="s">
        <v>103</v>
      </c>
      <c r="W46" s="24">
        <v>3</v>
      </c>
      <c r="X46" s="24">
        <v>4</v>
      </c>
      <c r="Y46" s="24">
        <v>74416</v>
      </c>
      <c r="Z46" s="24">
        <v>0</v>
      </c>
      <c r="AA46" s="24">
        <v>-74416</v>
      </c>
    </row>
    <row r="47" spans="1:27" ht="39" customHeight="1" thickBot="1" x14ac:dyDescent="0.3">
      <c r="B47" s="11"/>
      <c r="C47" s="103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5"/>
      <c r="P47" s="11"/>
      <c r="V47" s="22" t="s">
        <v>11</v>
      </c>
      <c r="W47" s="22">
        <v>276608</v>
      </c>
      <c r="X47" s="22">
        <v>1067812</v>
      </c>
      <c r="Y47" s="22">
        <v>19292546582.259998</v>
      </c>
      <c r="Z47" s="22">
        <v>98503253435.179993</v>
      </c>
      <c r="AA47" s="22">
        <v>79210706852.919998</v>
      </c>
    </row>
    <row r="48" spans="1:27" ht="24.75" thickBot="1" x14ac:dyDescent="0.3">
      <c r="B48" s="11"/>
      <c r="C48" s="135" t="s">
        <v>28</v>
      </c>
      <c r="D48" s="149" t="s">
        <v>93</v>
      </c>
      <c r="E48" s="149"/>
      <c r="F48" s="149"/>
      <c r="G48" s="149"/>
      <c r="H48" s="149"/>
      <c r="I48" s="149"/>
      <c r="J48" s="149"/>
      <c r="K48" s="149"/>
      <c r="L48" s="121" t="s">
        <v>95</v>
      </c>
      <c r="M48" s="121" t="s">
        <v>94</v>
      </c>
      <c r="N48" s="140" t="s">
        <v>96</v>
      </c>
      <c r="O48" s="112" t="s">
        <v>27</v>
      </c>
      <c r="P48" s="11"/>
    </row>
    <row r="49" spans="2:23" ht="24" thickBot="1" x14ac:dyDescent="0.3">
      <c r="B49" s="11"/>
      <c r="C49" s="136"/>
      <c r="D49" s="52" t="s">
        <v>84</v>
      </c>
      <c r="E49" s="52" t="s">
        <v>85</v>
      </c>
      <c r="F49" s="52" t="s">
        <v>25</v>
      </c>
      <c r="G49" s="52" t="s">
        <v>23</v>
      </c>
      <c r="H49" s="52" t="s">
        <v>26</v>
      </c>
      <c r="I49" s="52" t="s">
        <v>24</v>
      </c>
      <c r="J49" s="53" t="s">
        <v>73</v>
      </c>
      <c r="K49" s="38" t="s">
        <v>27</v>
      </c>
      <c r="L49" s="122"/>
      <c r="M49" s="122"/>
      <c r="N49" s="141"/>
      <c r="O49" s="113"/>
      <c r="P49" s="11"/>
    </row>
    <row r="50" spans="2:23" ht="3.75" hidden="1" customHeight="1" x14ac:dyDescent="0.3">
      <c r="B50" s="11"/>
      <c r="C50" s="29"/>
      <c r="D50" s="37"/>
      <c r="E50" s="37"/>
      <c r="F50" s="37"/>
      <c r="G50" s="37"/>
      <c r="H50" s="37"/>
      <c r="I50" s="37"/>
      <c r="J50" s="51"/>
      <c r="K50" s="39"/>
      <c r="L50" s="27"/>
      <c r="M50" s="27"/>
      <c r="N50" s="28"/>
      <c r="O50" s="114"/>
      <c r="P50" s="11"/>
    </row>
    <row r="51" spans="2:23" ht="24.75" thickBot="1" x14ac:dyDescent="0.3">
      <c r="B51" s="11"/>
      <c r="C51" s="30" t="s">
        <v>29</v>
      </c>
      <c r="D51" s="33">
        <f t="shared" ref="D51:J52" si="3">VALUE(B2)</f>
        <v>2568</v>
      </c>
      <c r="E51" s="33">
        <f t="shared" si="3"/>
        <v>1298</v>
      </c>
      <c r="F51" s="33">
        <f t="shared" si="3"/>
        <v>15346</v>
      </c>
      <c r="G51" s="33">
        <f t="shared" si="3"/>
        <v>1294</v>
      </c>
      <c r="H51" s="33">
        <f t="shared" si="3"/>
        <v>2010</v>
      </c>
      <c r="I51" s="33">
        <f t="shared" si="3"/>
        <v>314</v>
      </c>
      <c r="J51" s="33">
        <f t="shared" si="3"/>
        <v>379</v>
      </c>
      <c r="K51" s="41">
        <f>SUM(D51:J51)</f>
        <v>23209</v>
      </c>
      <c r="L51" s="139"/>
      <c r="M51" s="139"/>
      <c r="N51" s="139"/>
      <c r="O51" s="40">
        <f>VALUE(I2)</f>
        <v>23209</v>
      </c>
      <c r="P51" s="11"/>
      <c r="V51" s="13" t="s">
        <v>74</v>
      </c>
      <c r="W51" s="13" t="s">
        <v>75</v>
      </c>
    </row>
    <row r="52" spans="2:23" ht="23.25" customHeight="1" thickBot="1" x14ac:dyDescent="0.3">
      <c r="B52" s="11"/>
      <c r="C52" s="31" t="s">
        <v>30</v>
      </c>
      <c r="D52" s="34">
        <f t="shared" si="3"/>
        <v>77505</v>
      </c>
      <c r="E52" s="34">
        <f t="shared" si="3"/>
        <v>33438</v>
      </c>
      <c r="F52" s="34">
        <f t="shared" si="3"/>
        <v>509465</v>
      </c>
      <c r="G52" s="34">
        <f t="shared" si="3"/>
        <v>30040</v>
      </c>
      <c r="H52" s="34">
        <f t="shared" si="3"/>
        <v>27766</v>
      </c>
      <c r="I52" s="34">
        <f t="shared" si="3"/>
        <v>3041</v>
      </c>
      <c r="J52" s="34">
        <f t="shared" si="3"/>
        <v>4623</v>
      </c>
      <c r="K52" s="41">
        <f>SUM(D52:J52)</f>
        <v>685878</v>
      </c>
      <c r="L52" s="40">
        <f>VALUE(F9)</f>
        <v>2165547</v>
      </c>
      <c r="M52" s="40">
        <f>VALUE(G9)</f>
        <v>911</v>
      </c>
      <c r="N52" s="40">
        <f>VALUE(H9)</f>
        <v>832</v>
      </c>
      <c r="O52" s="40">
        <f>VALUE(I3)</f>
        <v>2853168</v>
      </c>
      <c r="P52" s="11"/>
      <c r="V52" s="13" t="s">
        <v>76</v>
      </c>
      <c r="W52" s="15">
        <f>O51</f>
        <v>23209</v>
      </c>
    </row>
    <row r="53" spans="2:23" s="1" customFormat="1" ht="24.75" customHeight="1" thickBot="1" x14ac:dyDescent="0.3">
      <c r="B53" s="12"/>
      <c r="C53" s="126" t="s">
        <v>31</v>
      </c>
      <c r="D53" s="127"/>
      <c r="E53" s="128"/>
      <c r="F53" s="146" t="s">
        <v>37</v>
      </c>
      <c r="G53" s="147"/>
      <c r="H53" s="147"/>
      <c r="I53" s="147"/>
      <c r="J53" s="147"/>
      <c r="K53" s="148"/>
      <c r="L53" s="123" t="s">
        <v>32</v>
      </c>
      <c r="M53" s="124"/>
      <c r="N53" s="124"/>
      <c r="O53" s="125"/>
      <c r="P53" s="12"/>
      <c r="V53" s="14" t="s">
        <v>77</v>
      </c>
      <c r="W53" s="15">
        <f>O52</f>
        <v>2853168</v>
      </c>
    </row>
    <row r="54" spans="2:23" s="1" customFormat="1" ht="48" customHeight="1" thickBot="1" x14ac:dyDescent="0.3">
      <c r="B54" s="12"/>
      <c r="C54" s="129"/>
      <c r="D54" s="130"/>
      <c r="E54" s="130"/>
      <c r="F54" s="42" t="s">
        <v>93</v>
      </c>
      <c r="G54" s="42" t="s">
        <v>95</v>
      </c>
      <c r="H54" s="42" t="s">
        <v>94</v>
      </c>
      <c r="I54" s="54" t="s">
        <v>96</v>
      </c>
      <c r="J54" s="142" t="s">
        <v>27</v>
      </c>
      <c r="K54" s="143"/>
      <c r="L54" s="35" t="s">
        <v>125</v>
      </c>
      <c r="M54" s="35" t="s">
        <v>54</v>
      </c>
      <c r="N54" s="115" t="s">
        <v>55</v>
      </c>
      <c r="O54" s="116"/>
      <c r="P54" s="12"/>
      <c r="V54" s="14" t="s">
        <v>79</v>
      </c>
      <c r="W54" s="16">
        <f>C6</f>
        <v>104319652379.27</v>
      </c>
    </row>
    <row r="55" spans="2:23" ht="21" customHeight="1" x14ac:dyDescent="0.25">
      <c r="B55" s="11"/>
      <c r="C55" s="131" t="s">
        <v>33</v>
      </c>
      <c r="D55" s="132"/>
      <c r="E55" s="132"/>
      <c r="F55" s="19">
        <f>SUM(W6+G14)</f>
        <v>2988491910.1100001</v>
      </c>
      <c r="G55" s="43"/>
      <c r="H55" s="47">
        <f>VALUE(W18)</f>
        <v>10921298.34</v>
      </c>
      <c r="I55" s="44">
        <f>VALUE(W21)</f>
        <v>1354529.83</v>
      </c>
      <c r="J55" s="144">
        <f>SUM(F55:I55)</f>
        <v>3000767738.2800002</v>
      </c>
      <c r="K55" s="145"/>
      <c r="L55" s="49">
        <f>VALUE(W38)</f>
        <v>136631</v>
      </c>
      <c r="M55" s="49">
        <f>VALUE(X38)</f>
        <v>869831</v>
      </c>
      <c r="N55" s="137">
        <f>VALUE(Y38)</f>
        <v>2908762161.6599998</v>
      </c>
      <c r="O55" s="138"/>
      <c r="P55" s="11"/>
      <c r="V55" s="13" t="s">
        <v>78</v>
      </c>
      <c r="W55" s="15">
        <f>C10</f>
        <v>19266935932.610001</v>
      </c>
    </row>
    <row r="56" spans="2:23" ht="21.75" customHeight="1" x14ac:dyDescent="0.25">
      <c r="B56" s="11"/>
      <c r="C56" s="63" t="s">
        <v>34</v>
      </c>
      <c r="D56" s="64"/>
      <c r="E56" s="64"/>
      <c r="F56" s="20">
        <f>VALUE(W7)</f>
        <v>3571594215.7199998</v>
      </c>
      <c r="G56" s="133">
        <f>VALUE(W15)</f>
        <v>1934212756.5599999</v>
      </c>
      <c r="H56" s="48">
        <v>0</v>
      </c>
      <c r="I56" s="45">
        <f>VALUE(W22)</f>
        <v>538603.39</v>
      </c>
      <c r="J56" s="150">
        <f>SUM(F56:I57)</f>
        <v>6554956507.9499998</v>
      </c>
      <c r="K56" s="151"/>
      <c r="L56" s="50">
        <f t="shared" ref="L56:M58" si="4">VALUE(W39)</f>
        <v>7397</v>
      </c>
      <c r="M56" s="50">
        <f t="shared" si="4"/>
        <v>13768</v>
      </c>
      <c r="N56" s="117">
        <f t="shared" ref="N56:N58" si="5">VALUE(Y39)</f>
        <v>256171499.78999999</v>
      </c>
      <c r="O56" s="118"/>
      <c r="P56" s="11"/>
      <c r="V56" s="13" t="s">
        <v>80</v>
      </c>
      <c r="W56" s="15">
        <f>N55</f>
        <v>2908762161.6599998</v>
      </c>
    </row>
    <row r="57" spans="2:23" ht="21" customHeight="1" x14ac:dyDescent="0.25">
      <c r="B57" s="11"/>
      <c r="C57" s="63" t="s">
        <v>35</v>
      </c>
      <c r="D57" s="64"/>
      <c r="E57" s="64"/>
      <c r="F57" s="20">
        <f>VALUE(W8)</f>
        <v>1047631422.88</v>
      </c>
      <c r="G57" s="134"/>
      <c r="H57" s="48">
        <v>0</v>
      </c>
      <c r="I57" s="45">
        <f>VALUE(W23)</f>
        <v>979509.4</v>
      </c>
      <c r="J57" s="152"/>
      <c r="K57" s="153"/>
      <c r="L57" s="50">
        <f t="shared" si="4"/>
        <v>841</v>
      </c>
      <c r="M57" s="50">
        <f t="shared" si="4"/>
        <v>35657</v>
      </c>
      <c r="N57" s="117">
        <f t="shared" si="5"/>
        <v>325575769.16000003</v>
      </c>
      <c r="O57" s="118"/>
      <c r="P57" s="11"/>
      <c r="V57" s="13" t="s">
        <v>81</v>
      </c>
      <c r="W57" s="15">
        <f>N56</f>
        <v>256171499.78999999</v>
      </c>
    </row>
    <row r="58" spans="2:23" ht="25.5" customHeight="1" thickBot="1" x14ac:dyDescent="0.3">
      <c r="B58" s="11"/>
      <c r="C58" s="63" t="s">
        <v>36</v>
      </c>
      <c r="D58" s="64"/>
      <c r="E58" s="64"/>
      <c r="F58" s="36">
        <f>VALUE(W9)+VALUE(W10)</f>
        <v>80362940123.429993</v>
      </c>
      <c r="G58" s="55">
        <f>VALUE(W16)+VALUE(W17)</f>
        <v>3649422095.75</v>
      </c>
      <c r="H58" s="56">
        <f>VALUE(W19)+VALUE(W20)</f>
        <v>10912218.710000001</v>
      </c>
      <c r="I58" s="46">
        <f>VALUE(W24)+VALUE(W25)</f>
        <v>14923658.82</v>
      </c>
      <c r="J58" s="119">
        <f>SUM(F58:I58)</f>
        <v>84038198096.710007</v>
      </c>
      <c r="K58" s="120"/>
      <c r="L58" s="50">
        <f t="shared" si="4"/>
        <v>129733</v>
      </c>
      <c r="M58" s="50">
        <f t="shared" si="4"/>
        <v>139995</v>
      </c>
      <c r="N58" s="117">
        <f t="shared" si="5"/>
        <v>15776426502</v>
      </c>
      <c r="O58" s="118"/>
      <c r="P58" s="11"/>
      <c r="V58" s="13" t="s">
        <v>82</v>
      </c>
      <c r="W58" s="15">
        <f>N57</f>
        <v>325575769.16000003</v>
      </c>
    </row>
    <row r="59" spans="2:23" ht="18.75" customHeight="1" x14ac:dyDescent="0.25">
      <c r="B59" s="11"/>
      <c r="C59" s="63" t="s">
        <v>101</v>
      </c>
      <c r="D59" s="64"/>
      <c r="E59" s="64"/>
      <c r="F59" s="98"/>
      <c r="G59" s="99"/>
      <c r="H59" s="99"/>
      <c r="I59" s="100"/>
      <c r="J59" s="96">
        <f>VALUE(W11)+VALUE(W12)+VALUE(W13)</f>
        <v>1879679649.55</v>
      </c>
      <c r="K59" s="97"/>
      <c r="L59" s="84"/>
      <c r="M59" s="84"/>
      <c r="N59" s="87"/>
      <c r="O59" s="88"/>
      <c r="P59" s="11"/>
      <c r="V59" s="13" t="s">
        <v>83</v>
      </c>
      <c r="W59" s="15">
        <f>N58</f>
        <v>15776426502</v>
      </c>
    </row>
    <row r="60" spans="2:23" ht="17.25" hidden="1" customHeight="1" x14ac:dyDescent="0.25">
      <c r="B60" s="11"/>
      <c r="C60" s="63" t="s">
        <v>72</v>
      </c>
      <c r="D60" s="64"/>
      <c r="E60" s="64"/>
      <c r="F60" s="58"/>
      <c r="G60" s="57"/>
      <c r="H60" s="57"/>
      <c r="I60" s="59"/>
      <c r="J60" s="26"/>
      <c r="K60" s="32"/>
      <c r="L60" s="85"/>
      <c r="M60" s="85"/>
      <c r="N60" s="89"/>
      <c r="O60" s="90"/>
      <c r="P60" s="11"/>
    </row>
    <row r="61" spans="2:23" ht="17.25" hidden="1" customHeight="1" x14ac:dyDescent="0.25">
      <c r="B61" s="11"/>
      <c r="C61" s="63" t="s">
        <v>56</v>
      </c>
      <c r="D61" s="64"/>
      <c r="E61" s="64"/>
      <c r="F61" s="58"/>
      <c r="G61" s="57"/>
      <c r="H61" s="57"/>
      <c r="I61" s="59"/>
      <c r="J61" s="26"/>
      <c r="K61" s="32"/>
      <c r="L61" s="85"/>
      <c r="M61" s="85"/>
      <c r="N61" s="89"/>
      <c r="O61" s="90"/>
      <c r="P61" s="11"/>
    </row>
    <row r="62" spans="2:23" ht="16.5" hidden="1" customHeight="1" x14ac:dyDescent="0.25">
      <c r="B62" s="11"/>
      <c r="C62" s="63" t="s">
        <v>57</v>
      </c>
      <c r="D62" s="64"/>
      <c r="E62" s="64"/>
      <c r="F62" s="58"/>
      <c r="G62" s="57"/>
      <c r="H62" s="57"/>
      <c r="I62" s="59"/>
      <c r="J62" s="26"/>
      <c r="K62" s="32"/>
      <c r="L62" s="85"/>
      <c r="M62" s="85"/>
      <c r="N62" s="89"/>
      <c r="O62" s="90"/>
      <c r="P62" s="11"/>
    </row>
    <row r="63" spans="2:23" ht="20.100000000000001" hidden="1" customHeight="1" x14ac:dyDescent="0.25">
      <c r="B63" s="11"/>
      <c r="C63" s="63" t="s">
        <v>70</v>
      </c>
      <c r="D63" s="64"/>
      <c r="E63" s="64"/>
      <c r="F63" s="58"/>
      <c r="G63" s="57"/>
      <c r="H63" s="57"/>
      <c r="I63" s="59"/>
      <c r="J63" s="26"/>
      <c r="K63" s="32"/>
      <c r="L63" s="85"/>
      <c r="M63" s="85"/>
      <c r="N63" s="89"/>
      <c r="O63" s="90"/>
      <c r="P63" s="11"/>
    </row>
    <row r="64" spans="2:23" ht="17.25" hidden="1" customHeight="1" x14ac:dyDescent="0.25">
      <c r="B64" s="11"/>
      <c r="C64" s="63" t="s">
        <v>71</v>
      </c>
      <c r="D64" s="64"/>
      <c r="E64" s="64"/>
      <c r="F64" s="58"/>
      <c r="G64" s="57"/>
      <c r="H64" s="57"/>
      <c r="I64" s="59"/>
      <c r="J64" s="26"/>
      <c r="K64" s="32"/>
      <c r="L64" s="85"/>
      <c r="M64" s="85"/>
      <c r="N64" s="89"/>
      <c r="O64" s="90"/>
      <c r="P64" s="11"/>
    </row>
    <row r="65" spans="2:16" ht="17.25" customHeight="1" thickBot="1" x14ac:dyDescent="0.3">
      <c r="B65" s="11"/>
      <c r="C65" s="80" t="s">
        <v>112</v>
      </c>
      <c r="D65" s="81"/>
      <c r="E65" s="81"/>
      <c r="F65" s="93"/>
      <c r="G65" s="94"/>
      <c r="H65" s="94"/>
      <c r="I65" s="95"/>
      <c r="J65" s="82">
        <f>VALUE(W14)+VALUE(W26)+VALUE(W27)+VALUE(W28)+VALUE(W29)+VALUE(W30)+VALUE(W31)+VALUE(W32)+VALUE(W33)</f>
        <v>8832376443.7699986</v>
      </c>
      <c r="K65" s="83"/>
      <c r="L65" s="86"/>
      <c r="M65" s="86"/>
      <c r="N65" s="91"/>
      <c r="O65" s="92"/>
      <c r="P65" s="11"/>
    </row>
    <row r="66" spans="2:16" ht="23.45" customHeight="1" x14ac:dyDescent="0.25">
      <c r="B66" s="11"/>
      <c r="C66" s="73" t="s">
        <v>27</v>
      </c>
      <c r="D66" s="74"/>
      <c r="E66" s="74"/>
      <c r="F66" s="75"/>
      <c r="G66" s="75"/>
      <c r="H66" s="75"/>
      <c r="I66" s="76"/>
      <c r="J66" s="65" t="str">
        <f>CONCATENATE(B7," ",C7," ",B8," ",C8)</f>
        <v>104 अर्ब 31 करोड</v>
      </c>
      <c r="K66" s="66"/>
      <c r="L66" s="70">
        <f>SUM(L55:L58)</f>
        <v>274602</v>
      </c>
      <c r="M66" s="70">
        <f>SUM(M55:M58)</f>
        <v>1059251</v>
      </c>
      <c r="N66" s="69" t="str">
        <f>CONCATENATE(B11," ",C11," ",B12," ",C12)</f>
        <v>19 अर्ब 26 करोड</v>
      </c>
      <c r="O66" s="70"/>
      <c r="P66" s="11"/>
    </row>
    <row r="67" spans="2:16" ht="10.5" customHeight="1" thickBot="1" x14ac:dyDescent="0.3">
      <c r="B67" s="11"/>
      <c r="C67" s="77"/>
      <c r="D67" s="78"/>
      <c r="E67" s="78"/>
      <c r="F67" s="78"/>
      <c r="G67" s="78"/>
      <c r="H67" s="78"/>
      <c r="I67" s="79"/>
      <c r="J67" s="67"/>
      <c r="K67" s="68"/>
      <c r="L67" s="72"/>
      <c r="M67" s="72"/>
      <c r="N67" s="71"/>
      <c r="O67" s="72"/>
      <c r="P67" s="11"/>
    </row>
    <row r="68" spans="2:16" x14ac:dyDescent="0.2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122" spans="2:16" ht="10.5" customHeight="1" x14ac:dyDescent="0.25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</sheetData>
  <mergeCells count="45">
    <mergeCell ref="C58:E58"/>
    <mergeCell ref="G56:G57"/>
    <mergeCell ref="C48:C49"/>
    <mergeCell ref="N57:O57"/>
    <mergeCell ref="N55:O55"/>
    <mergeCell ref="L51:N51"/>
    <mergeCell ref="N48:N49"/>
    <mergeCell ref="J54:K54"/>
    <mergeCell ref="J55:K55"/>
    <mergeCell ref="F53:K53"/>
    <mergeCell ref="D48:K48"/>
    <mergeCell ref="N56:O56"/>
    <mergeCell ref="J56:K57"/>
    <mergeCell ref="J59:K59"/>
    <mergeCell ref="F59:I59"/>
    <mergeCell ref="M66:M67"/>
    <mergeCell ref="C46:O47"/>
    <mergeCell ref="C41:O45"/>
    <mergeCell ref="O48:O50"/>
    <mergeCell ref="N54:O54"/>
    <mergeCell ref="N58:O58"/>
    <mergeCell ref="J58:K58"/>
    <mergeCell ref="M48:M49"/>
    <mergeCell ref="L48:L49"/>
    <mergeCell ref="L53:O53"/>
    <mergeCell ref="C53:E54"/>
    <mergeCell ref="C55:E55"/>
    <mergeCell ref="C56:E56"/>
    <mergeCell ref="C57:E57"/>
    <mergeCell ref="C62:E62"/>
    <mergeCell ref="C63:E63"/>
    <mergeCell ref="J66:K67"/>
    <mergeCell ref="N66:O67"/>
    <mergeCell ref="C64:E64"/>
    <mergeCell ref="C66:I67"/>
    <mergeCell ref="L66:L67"/>
    <mergeCell ref="C65:E65"/>
    <mergeCell ref="J65:K65"/>
    <mergeCell ref="L59:L65"/>
    <mergeCell ref="M59:M65"/>
    <mergeCell ref="N59:O65"/>
    <mergeCell ref="F65:I65"/>
    <mergeCell ref="C59:E59"/>
    <mergeCell ref="C60:E60"/>
    <mergeCell ref="C61:E6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2026-04-22T09:30:33Z</dcterms:modified>
</cp:coreProperties>
</file>